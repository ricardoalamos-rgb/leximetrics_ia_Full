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ardo/Desktop/"/>
    </mc:Choice>
  </mc:AlternateContent>
  <xr:revisionPtr revIDLastSave="0" documentId="13_ncr:1_{4F0B7D08-7AAA-784A-800C-2279B5B28F5E}" xr6:coauthVersionLast="47" xr6:coauthVersionMax="47" xr10:uidLastSave="{00000000-0000-0000-0000-000000000000}"/>
  <bookViews>
    <workbookView xWindow="160" yWindow="660" windowWidth="36900" windowHeight="26300" xr2:uid="{00000000-000D-0000-FFFF-FFFF00000000}"/>
  </bookViews>
  <sheets>
    <sheet name="Causas" sheetId="1" r:id="rId1"/>
  </sheets>
  <definedNames>
    <definedName name="_xlnm._FilterDatabase" localSheetId="0" hidden="1">Causas!$A$1:$I$1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" i="1"/>
</calcChain>
</file>

<file path=xl/sharedStrings.xml><?xml version="1.0" encoding="utf-8"?>
<sst xmlns="http://schemas.openxmlformats.org/spreadsheetml/2006/main" count="1063" uniqueCount="565">
  <si>
    <t>Rol (Ej: C-123-2024)</t>
  </si>
  <si>
    <t>Caratula (Ej: BANCO/PEREZ)</t>
  </si>
  <si>
    <t>Tribunal (Ej: 1º Juzgado Civil de Santiago)</t>
  </si>
  <si>
    <t>Rut Deudor (Ej: 12.345.678-9)</t>
  </si>
  <si>
    <t>Nombre Deudor (Opcional)</t>
  </si>
  <si>
    <t>Monto Demanda (Opcional)</t>
  </si>
  <si>
    <t>Fecha Ingreso (YYYY-MM-DD)</t>
  </si>
  <si>
    <t>WORLD PALLETS ECO LIMITADA</t>
  </si>
  <si>
    <t>WIDELSON JESÚS HIDALGO VOLCÁN</t>
  </si>
  <si>
    <t>WALTER EDUARDO CASTRO PÉREZ</t>
  </si>
  <si>
    <t>VISION ONLINE SPA</t>
  </si>
  <si>
    <t>VISIÓN ELEKTRA SPA</t>
  </si>
  <si>
    <t>VÍCTOR RODRIGO GONZÁLEZ LÓPEZ</t>
  </si>
  <si>
    <t>TRANSPORTES OLEA LIMITADA</t>
  </si>
  <si>
    <t>SOLEDAD GISSELL MUÑOZ JIMÉNEZ</t>
  </si>
  <si>
    <t>SODESA SPA</t>
  </si>
  <si>
    <t>SOCIEDAD INMOBILIARIA TERRASUR LIMITADA</t>
  </si>
  <si>
    <t>SOCIEDAD DE SERVICIOS Y CAPACITACIÓN EN SEGURIDAD INTEGRAL LIMITADA</t>
  </si>
  <si>
    <t>SOCIEDAD COMERCIAL Y AGRÍCOLA EXPOFRUTA LIMITADA</t>
  </si>
  <si>
    <t>SIMÓN ESTEBAN FAÚNDEZ POBLETE</t>
  </si>
  <si>
    <t>SIAM CLOTHES CHILE LIMITADA IMPORTADORA Y COMERCIALIZADORA</t>
  </si>
  <si>
    <t>SERVICIOS DE MANTENCIÓN MONTAJE Y OBRAS CIVILES CRC SPA</t>
  </si>
  <si>
    <t>SERVICIOS DE INGENIERÍA Y CONSTRUCCIÓN LIMITADA</t>
  </si>
  <si>
    <t>SERGIO DANILO BARRERA VEGA</t>
  </si>
  <si>
    <t>SERGIO ANDRÉS ORTIZ LAGOS</t>
  </si>
  <si>
    <t>SERGIO ABRAHAM PEÑALOZA MARCHANT</t>
  </si>
  <si>
    <t>SCARLETTE IBARRA OLEA DISTRIBUIDORA E.I.R.L.</t>
  </si>
  <si>
    <t>SCARLETTE FRANCISCA IBARRA OLEA</t>
  </si>
  <si>
    <t>RUIZ SOLUCIONES SPA</t>
  </si>
  <si>
    <t>ROSA ESTER BUSTAMANTE CID</t>
  </si>
  <si>
    <t>RODRIGO ANDRÉS LÓPEZ MÉNDEZ</t>
  </si>
  <si>
    <t>RODOLFO HERNÁN FRANCO RIVERA</t>
  </si>
  <si>
    <t>RENZO LEOPOLDO HERNÁNDEZ CALDERÓN</t>
  </si>
  <si>
    <t>RENÉ ERNESTO FUENTES MELO</t>
  </si>
  <si>
    <t>RAMCHAND DUHLANI BHARAT</t>
  </si>
  <si>
    <t>RAFAEL ALEJANDRO PATIÑO SUÁREZ</t>
  </si>
  <si>
    <t>PETROKEL SPA</t>
  </si>
  <si>
    <t>PEDRO ALFONSO PALMA SALAS</t>
  </si>
  <si>
    <t>PAZ ANGÉLICA SAN MARTÍN CUADRA</t>
  </si>
  <si>
    <t>PATRICIO ANTONIO CARRILLO ZENTENO</t>
  </si>
  <si>
    <t>PATRICIO ALFREDO MORALES DE LA FUENTE</t>
  </si>
  <si>
    <t>PATRICIA CLAUDIA ARMENDÁRIZ SILVA</t>
  </si>
  <si>
    <t>PARTNERPLAY SPA</t>
  </si>
  <si>
    <t>PARTNER PLAY SPA</t>
  </si>
  <si>
    <t>PAMELA DESIREE ARGANDOÑA ADASME</t>
  </si>
  <si>
    <t>PABLO ENRIQUE MORALES TRONCOSO</t>
  </si>
  <si>
    <t>NICOLÁS PATRICIO MANSILLA RODRÍGUEZ</t>
  </si>
  <si>
    <t>NICOLÁS ORLANDO ALBORNOZ PÉREZ</t>
  </si>
  <si>
    <t>NICOLÁS EMANUEL SANDOVAL CORNEJO</t>
  </si>
  <si>
    <t>NICOLÁS EDUARDO NAVARRETE MIRA</t>
  </si>
  <si>
    <t>NATHALY KARINA DORAT CORONADO</t>
  </si>
  <si>
    <t>MR. PET SPA</t>
  </si>
  <si>
    <t>MORENO SERVICIO LIMITADA</t>
  </si>
  <si>
    <t>MÓNICA ELENA AGUIRRE MORA</t>
  </si>
  <si>
    <t>MOISÉS SEGUNDO HORMAZÁBAL HORMAZÁBAL</t>
  </si>
  <si>
    <t>MAURICIO ANTONIO GRANDÓN AHUMADA</t>
  </si>
  <si>
    <t>MARIO VERGARA FUENTES</t>
  </si>
  <si>
    <t>MARIO ALEJANDRO CANALES CONCHA</t>
  </si>
  <si>
    <t>MARIANELA EUGENIA PEÑA RODRÍGUEZ</t>
  </si>
  <si>
    <t>MARÍA ISABEL ARANDA MORALES</t>
  </si>
  <si>
    <t>MARÍA ELENA CONTRERAS AYALA</t>
  </si>
  <si>
    <t>MARCELO IVÁN OYARZÚN HENRÍQUEZ</t>
  </si>
  <si>
    <t>LUIS MANUEL CLAUDIO FERNÁNDEZ GONZÁLEZ</t>
  </si>
  <si>
    <t>LUIS FRANCISCO LEMOS OSPINA</t>
  </si>
  <si>
    <t>LUIS FERNANDO VELÁSQUEZ ANABALÓN</t>
  </si>
  <si>
    <t>LUIS EXEQUIEL REYES CRUZ</t>
  </si>
  <si>
    <t>LUIS ALBERTO SAAVEDRA MEDINA</t>
  </si>
  <si>
    <t>LTH MEDICAL SALUD Y BIENESTAR SPA</t>
  </si>
  <si>
    <t>LARRY ALEX DURÁN ABRILOT</t>
  </si>
  <si>
    <t>JULIO ERNESTO TAGLE BREVIS</t>
  </si>
  <si>
    <t>JUAN SANTIAGO CARRILLO HENRÍQUEZ</t>
  </si>
  <si>
    <t>JUAN PABLO SAN MARTÍN CARDEMIL</t>
  </si>
  <si>
    <t>JUAN GUILLERMO PALMA BUSTAMANTE</t>
  </si>
  <si>
    <t>JUAN FRANCISCO HERNÁNDEZ GONZÁLEZ</t>
  </si>
  <si>
    <t>JUAN ELÍAS BURGOS VILLAGRA</t>
  </si>
  <si>
    <t>JUAN ANTONIO GONZÁLEZ CÓRDOVA</t>
  </si>
  <si>
    <t>JUAN ÁNGEL URCOLA VALDÉS</t>
  </si>
  <si>
    <t>JOSÉ MANUEL RODRÍGUEZ MANGIAMARCHI</t>
  </si>
  <si>
    <t>JOSÉ LUIS BUSTOS ESPINOZA</t>
  </si>
  <si>
    <t>JOSÉ LUIS BARRIENTOS MURATUKA</t>
  </si>
  <si>
    <t>JORGE RICARDO URRUTIA RIVEROS</t>
  </si>
  <si>
    <t>JHON FREDY SALAZAR SALAZAR</t>
  </si>
  <si>
    <t>JAVIER RODRIGO CISTERNA JELDRES</t>
  </si>
  <si>
    <t>JAVIER ORLANDO ELICER LEIVA</t>
  </si>
  <si>
    <t>JAIME PATRICIO MANSILLA FUENTEALBA</t>
  </si>
  <si>
    <t>JAIME LEONEL ROJAS VALDÉS</t>
  </si>
  <si>
    <t>IVÁN CÉSAR AHUMADA ARIAS</t>
  </si>
  <si>
    <t>IVÁN ALEJANDRO BUSTAMANTE MERCHAN</t>
  </si>
  <si>
    <t>ISABEL MARINA FLORES CAMPOS</t>
  </si>
  <si>
    <t>ISABEL MARGARITA GAETE GAETE</t>
  </si>
  <si>
    <t>INSTALACIONES TÉRMICAS SECAR LIMITADA</t>
  </si>
  <si>
    <t>INGENIERIA Y CONSTRUCCION 3 C LIMITADA</t>
  </si>
  <si>
    <t>IMPORTADORA ROMEE LIMITADA</t>
  </si>
  <si>
    <t>HUGO FERNANDO ÁGUILA LÓPEZ</t>
  </si>
  <si>
    <t>HÉCTOR HUGO MIRANDA MACHUCA</t>
  </si>
  <si>
    <t>HÉCTOR HERNÁN CEPEDA RETAMALES</t>
  </si>
  <si>
    <t>GUILLERMO VALDÉS CHAIGNEAU</t>
  </si>
  <si>
    <t>GUILLERMO IGNACIO DÍAZ JARA</t>
  </si>
  <si>
    <t>GRUPO PLUSVIDA SPA</t>
  </si>
  <si>
    <t>GONZALO ZAPATA ROSSO</t>
  </si>
  <si>
    <t>GONZALO ANDRÉS CAMPOS ARÉVALO</t>
  </si>
  <si>
    <t>GÉNESIS VERÓNICA MORALES IBARRA</t>
  </si>
  <si>
    <t>FRANCISCO HERNÁN ABELLO SÁEZ</t>
  </si>
  <si>
    <t>FELIPE IVÁN SANDOVAL PARRA</t>
  </si>
  <si>
    <t>ESTEBAN BELARMINO LIZAMA ARANCIBIA</t>
  </si>
  <si>
    <t>ENRIQUE ALFONSO MIRANDA ALBORNOZ</t>
  </si>
  <si>
    <t>ELECTRÓNICA, TRANSPORTES Y EVENTOS GTI LIMITADA</t>
  </si>
  <si>
    <t>EDUARDO VICENTE ARRIARÁN ANDRÉS</t>
  </si>
  <si>
    <t>EDUARDO SAA SERVICIOS MÉDICOS Y COMPAÑÍA LIMITADA</t>
  </si>
  <si>
    <t>DERMOTEC COMERCIALIZADORA DE PRODUCTOS MÉDICOS ESTÉTICOS SPA</t>
  </si>
  <si>
    <t>DAVID AURELIO ORELLANA CASTRO</t>
  </si>
  <si>
    <t>DANIEL MILLAMÁN CARIMÁN</t>
  </si>
  <si>
    <t>CRISTIÁN MIGUEL CAROCA FERRADA</t>
  </si>
  <si>
    <t>CRISTIAN GABRIEL BARBERIS URRUTIA</t>
  </si>
  <si>
    <t>COMERCIALIZADORA SALGADO MORA SPA</t>
  </si>
  <si>
    <t>COMERCIALIZADORA NEUMACLICK SPA</t>
  </si>
  <si>
    <t>COMERCIALIZADORA E IMPORTADORA ECOIN SPA</t>
  </si>
  <si>
    <t>COMERCIALIZADORA ARDAGE SPA</t>
  </si>
  <si>
    <t>COMERCIAL MARIA ISABEL ARANDA E.I.R.L.</t>
  </si>
  <si>
    <t>COMERCIAL LOS NENES JR SPA</t>
  </si>
  <si>
    <t>CLAUDIO RIUTOR PAZ</t>
  </si>
  <si>
    <t>CLARIBEL MONTENEGRO ARIAS</t>
  </si>
  <si>
    <t>CHRISTIAN REINALDO BUSTOS VEGA</t>
  </si>
  <si>
    <t>CHILETECHOS SPA</t>
  </si>
  <si>
    <t>CHILEREPUESTOS SPA</t>
  </si>
  <si>
    <t>CAROLINA MIRANDA CHÁVEZ</t>
  </si>
  <si>
    <t>CARMEN LIDIA CASTILLO MOLINA</t>
  </si>
  <si>
    <t>CARLOS PATRICIO ESPINOZA CANDIA</t>
  </si>
  <si>
    <t>CARLOS MARCELO RUIZ DELGADO</t>
  </si>
  <si>
    <t>CARLOS GREGORIO VOTH GONZÁLEZ</t>
  </si>
  <si>
    <t>CARLOS ALBERTO BAEZA GUAJARDO</t>
  </si>
  <si>
    <t>CANORO Y ABSOLUTO SPA</t>
  </si>
  <si>
    <t>BUTLER CORPORATION SPA</t>
  </si>
  <si>
    <t>BIZARRA SPA</t>
  </si>
  <si>
    <t>BILLORDO, PEÑA Y ZAVALA LIMITADA</t>
  </si>
  <si>
    <t>BHARAT RAMCHAND DUHLANI</t>
  </si>
  <si>
    <t>AUTOMOTORA SILCO SPA</t>
  </si>
  <si>
    <t>ARNALDO GONZALO LAZCANO QUIROZ</t>
  </si>
  <si>
    <t>ANNY GREGORIA CHACIN GÓMEZ</t>
  </si>
  <si>
    <t>ALIMENTOS CHILE LIMITADA</t>
  </si>
  <si>
    <t>ALDO BENITO SOTO FARÍAS</t>
  </si>
  <si>
    <t>8 DIGITAL SPA</t>
  </si>
  <si>
    <t>C-17362-2024</t>
  </si>
  <si>
    <t>C-2108-2025</t>
  </si>
  <si>
    <t>C-4976-2025</t>
  </si>
  <si>
    <t>C-24705-2017</t>
  </si>
  <si>
    <t>C-11581-2020</t>
  </si>
  <si>
    <t>C-24704-2017</t>
  </si>
  <si>
    <t>C-4580-2024</t>
  </si>
  <si>
    <t>C-20721-2023</t>
  </si>
  <si>
    <t>C-16770-2023</t>
  </si>
  <si>
    <t>C-14159-2024</t>
  </si>
  <si>
    <t>C-3511-2024</t>
  </si>
  <si>
    <t>C-20821-2023</t>
  </si>
  <si>
    <t>C-638-2024</t>
  </si>
  <si>
    <t>C-15776-2024</t>
  </si>
  <si>
    <t>C-19114-2024</t>
  </si>
  <si>
    <t>C-21989-2024</t>
  </si>
  <si>
    <t>C-14168-2024</t>
  </si>
  <si>
    <t>C-3565-2023</t>
  </si>
  <si>
    <t>C-2481-2025</t>
  </si>
  <si>
    <t>C-3928-2024</t>
  </si>
  <si>
    <t>C-1118-2024</t>
  </si>
  <si>
    <t>C-0/0/0-/</t>
  </si>
  <si>
    <t>C-13260-2024</t>
  </si>
  <si>
    <t>C-5316-2024</t>
  </si>
  <si>
    <t>C-4241-2024</t>
  </si>
  <si>
    <t>C-13640-2020</t>
  </si>
  <si>
    <t>C-12405-2024</t>
  </si>
  <si>
    <t>C-3570-2024</t>
  </si>
  <si>
    <t>C-20067-2024</t>
  </si>
  <si>
    <t>C-11456-2024</t>
  </si>
  <si>
    <t>C-6668-2023</t>
  </si>
  <si>
    <t>C-6341-2023</t>
  </si>
  <si>
    <t>C-13377-2023</t>
  </si>
  <si>
    <t>C-14875-2022</t>
  </si>
  <si>
    <t>C-14928-2022</t>
  </si>
  <si>
    <t>C-5050-2024</t>
  </si>
  <si>
    <t>C-14977-2024</t>
  </si>
  <si>
    <t>C-12468-2023</t>
  </si>
  <si>
    <t>C-14978-2024</t>
  </si>
  <si>
    <t>C-4047-2024</t>
  </si>
  <si>
    <t>C-10839-2022</t>
  </si>
  <si>
    <t>C-7151-2022</t>
  </si>
  <si>
    <t>C-15867-2022</t>
  </si>
  <si>
    <t>C-15872-2022</t>
  </si>
  <si>
    <t>C-3205-2023</t>
  </si>
  <si>
    <t>C-19640-2024</t>
  </si>
  <si>
    <t>C-11993-2025</t>
  </si>
  <si>
    <t>C-7886-2025</t>
  </si>
  <si>
    <t>C-5387-2024</t>
  </si>
  <si>
    <t>C-20115-2023</t>
  </si>
  <si>
    <t>C-8685-2024</t>
  </si>
  <si>
    <t>C-14399-2024</t>
  </si>
  <si>
    <t>C-11447-2024</t>
  </si>
  <si>
    <t>C-13262-2024</t>
  </si>
  <si>
    <t>C-2864-2024</t>
  </si>
  <si>
    <t>C-158-2024</t>
  </si>
  <si>
    <t>C-903-2025</t>
  </si>
  <si>
    <t>C-2131-2025</t>
  </si>
  <si>
    <t>C-2110-2025</t>
  </si>
  <si>
    <t>C-19801-2024</t>
  </si>
  <si>
    <t>C-6365-2021</t>
  </si>
  <si>
    <t>C-6294-2021</t>
  </si>
  <si>
    <t>C-4768-2022</t>
  </si>
  <si>
    <t>C-7878-2025</t>
  </si>
  <si>
    <t>C-11995-2025</t>
  </si>
  <si>
    <t>C-15559-2024</t>
  </si>
  <si>
    <t>C-12427-2023</t>
  </si>
  <si>
    <t>C-20439-2023</t>
  </si>
  <si>
    <t>C-9546-2024</t>
  </si>
  <si>
    <t>C-16724-2023</t>
  </si>
  <si>
    <t>C-7263-2023</t>
  </si>
  <si>
    <t>C-5110-2023</t>
  </si>
  <si>
    <t>C-12443-2024</t>
  </si>
  <si>
    <t>C-4199-2024</t>
  </si>
  <si>
    <t>C-13955-2024</t>
  </si>
  <si>
    <t>C-20817-2024</t>
  </si>
  <si>
    <t>C-6817-2024</t>
  </si>
  <si>
    <t>C-7075-2024</t>
  </si>
  <si>
    <t>C-17751-2024</t>
  </si>
  <si>
    <t>C-4014-2024</t>
  </si>
  <si>
    <t>C-444-2024</t>
  </si>
  <si>
    <t>C-14528-2024</t>
  </si>
  <si>
    <t>C-21892-2024</t>
  </si>
  <si>
    <t>C-3156-2024</t>
  </si>
  <si>
    <t>C-2503-2024</t>
  </si>
  <si>
    <t>C-23937-2014</t>
  </si>
  <si>
    <t>C-31550-2017</t>
  </si>
  <si>
    <t>C-22164-2016</t>
  </si>
  <si>
    <t>C-22059-2016</t>
  </si>
  <si>
    <t>C-13076-2009</t>
  </si>
  <si>
    <t>C-1095-2024</t>
  </si>
  <si>
    <t>C-18013-2023</t>
  </si>
  <si>
    <t>C-359-2024</t>
  </si>
  <si>
    <t>C-11298-2022</t>
  </si>
  <si>
    <t>C-17588-2024</t>
  </si>
  <si>
    <t>C-23165-2024</t>
  </si>
  <si>
    <t>C-20835-2023</t>
  </si>
  <si>
    <t>C-7875-2025</t>
  </si>
  <si>
    <t>C-10312-2024</t>
  </si>
  <si>
    <t>C-2115-2023</t>
  </si>
  <si>
    <t>C-20836-2024</t>
  </si>
  <si>
    <t>C-19582-2024</t>
  </si>
  <si>
    <t>C-4676-2025</t>
  </si>
  <si>
    <t>C-8930-2025</t>
  </si>
  <si>
    <t>C-27566-2018</t>
  </si>
  <si>
    <t>C-13868-2019</t>
  </si>
  <si>
    <t>C-14176-2024</t>
  </si>
  <si>
    <t>C-2861-2024</t>
  </si>
  <si>
    <t>C-10607-2024</t>
  </si>
  <si>
    <t>C-9652-2024</t>
  </si>
  <si>
    <t>C-3340-2023</t>
  </si>
  <si>
    <t>C-3397-2023</t>
  </si>
  <si>
    <t>C-5154-2022</t>
  </si>
  <si>
    <t>C-7778-2023</t>
  </si>
  <si>
    <t>C-2383-2024</t>
  </si>
  <si>
    <t>C-5064-2024</t>
  </si>
  <si>
    <t>C-17469-2023</t>
  </si>
  <si>
    <t>C-13854-2023</t>
  </si>
  <si>
    <t>C-20773-2023</t>
  </si>
  <si>
    <t>C-20103-2023</t>
  </si>
  <si>
    <t>C-2630-2025</t>
  </si>
  <si>
    <t>C-13809-2018</t>
  </si>
  <si>
    <t>C-4391-2016</t>
  </si>
  <si>
    <t>C-19359-2024</t>
  </si>
  <si>
    <t>C-913-2025</t>
  </si>
  <si>
    <t>C-14147-2024</t>
  </si>
  <si>
    <t>C-7759-2023</t>
  </si>
  <si>
    <t>C-6789-2016</t>
  </si>
  <si>
    <t>C-10747-2016</t>
  </si>
  <si>
    <t>C-127-2024</t>
  </si>
  <si>
    <t>C-8822-2024</t>
  </si>
  <si>
    <t>C-2251-2024</t>
  </si>
  <si>
    <t>C-5694-2024</t>
  </si>
  <si>
    <t>C-8406-2024</t>
  </si>
  <si>
    <t>C-1763-2024</t>
  </si>
  <si>
    <t>C-15339-2024</t>
  </si>
  <si>
    <t>C-14614-2024</t>
  </si>
  <si>
    <t>C-19921-2024</t>
  </si>
  <si>
    <t>C-3369-2025</t>
  </si>
  <si>
    <t>C-11997-2025</t>
  </si>
  <si>
    <t>C-14222-2024</t>
  </si>
  <si>
    <t>C-1401-2024</t>
  </si>
  <si>
    <t>C-4012-2024</t>
  </si>
  <si>
    <t>C-7755-2021</t>
  </si>
  <si>
    <t>C-3677-2024</t>
  </si>
  <si>
    <t>C-3509-2024</t>
  </si>
  <si>
    <t>C-15367-2024</t>
  </si>
  <si>
    <t>C-48-2023</t>
  </si>
  <si>
    <t>C-11234-2022</t>
  </si>
  <si>
    <t>C-2123-2023</t>
  </si>
  <si>
    <t>C-7237-2023</t>
  </si>
  <si>
    <t>C-10306-2025</t>
  </si>
  <si>
    <t>C-5467-2021</t>
  </si>
  <si>
    <t>C-4464-2021</t>
  </si>
  <si>
    <t>C-6651-2021</t>
  </si>
  <si>
    <t>C-16157-2024</t>
  </si>
  <si>
    <t>C-16872-2023</t>
  </si>
  <si>
    <t>C-15289-2024</t>
  </si>
  <si>
    <t>C-19603-2024</t>
  </si>
  <si>
    <t>C-16925-2023</t>
  </si>
  <si>
    <t>C-16321-2023</t>
  </si>
  <si>
    <t>C-15167-2022</t>
  </si>
  <si>
    <t>C-831-2023</t>
  </si>
  <si>
    <t>C-7881-2025</t>
  </si>
  <si>
    <t>C-10312-2025</t>
  </si>
  <si>
    <t>C-17950-2024</t>
  </si>
  <si>
    <t>C-14972-2024</t>
  </si>
  <si>
    <t>C-19569-2024</t>
  </si>
  <si>
    <t>C-12346-2024</t>
  </si>
  <si>
    <t>C-12363-2024</t>
  </si>
  <si>
    <t>C-16513-2023</t>
  </si>
  <si>
    <t>C-14076-2023</t>
  </si>
  <si>
    <t>C-7887-2025</t>
  </si>
  <si>
    <t>C-911-2025</t>
  </si>
  <si>
    <t>C-10318-2025</t>
  </si>
  <si>
    <t>C-2100-2025</t>
  </si>
  <si>
    <t>C-8191-2024</t>
  </si>
  <si>
    <t>C-2701-2025</t>
  </si>
  <si>
    <t>C-8771-2022</t>
  </si>
  <si>
    <t>C-7494-2021</t>
  </si>
  <si>
    <t>C-2306-2022</t>
  </si>
  <si>
    <t>C-10948-2024</t>
  </si>
  <si>
    <t>C-5530-2022</t>
  </si>
  <si>
    <t>C-9705-2024</t>
  </si>
  <si>
    <t>C-11852-2024</t>
  </si>
  <si>
    <t>C-18287-2024</t>
  </si>
  <si>
    <t>C-16387-2024</t>
  </si>
  <si>
    <t>C-15932-2024</t>
  </si>
  <si>
    <t>C-12007-2025</t>
  </si>
  <si>
    <t>C-16288-2023</t>
  </si>
  <si>
    <t>C-22041-2024</t>
  </si>
  <si>
    <t>C-16580-2024</t>
  </si>
  <si>
    <t>C-20720-2023</t>
  </si>
  <si>
    <t>C-21715-2024</t>
  </si>
  <si>
    <t>C-4019-2024</t>
  </si>
  <si>
    <t>C-9850-2023</t>
  </si>
  <si>
    <t>C-11991-2025</t>
  </si>
  <si>
    <t>C-1276-2025</t>
  </si>
  <si>
    <t>C-2130-2025</t>
  </si>
  <si>
    <t>C-19307-2024</t>
  </si>
  <si>
    <t>C-2629-2025</t>
  </si>
  <si>
    <t>C-9246-2024</t>
  </si>
  <si>
    <t>C-908-2025</t>
  </si>
  <si>
    <t>C-14944-2024</t>
  </si>
  <si>
    <t>C-2635-2025</t>
  </si>
  <si>
    <t>C-17348-2024</t>
  </si>
  <si>
    <t>C-17963-2024</t>
  </si>
  <si>
    <t>C-23168-2024</t>
  </si>
  <si>
    <t>C-7003-2024</t>
  </si>
  <si>
    <t>C-19216-2024</t>
  </si>
  <si>
    <t>C-16632-2023</t>
  </si>
  <si>
    <t>C-4339-2024</t>
  </si>
  <si>
    <t>C-13751-2024</t>
  </si>
  <si>
    <t>C-13212-2023</t>
  </si>
  <si>
    <t>C-18395-2023</t>
  </si>
  <si>
    <t>C-19531-2024</t>
  </si>
  <si>
    <t>C-13011-2024</t>
  </si>
  <si>
    <t>C-19651-2024</t>
  </si>
  <si>
    <t>C-17231-2024</t>
  </si>
  <si>
    <t>C-4219-2024</t>
  </si>
  <si>
    <t>C-5244-2024</t>
  </si>
  <si>
    <t>C-8118-2024</t>
  </si>
  <si>
    <t>C-11037-2024</t>
  </si>
  <si>
    <t>C-910-2025</t>
  </si>
  <si>
    <t>C-2128-2025</t>
  </si>
  <si>
    <t>C-9245-2024</t>
  </si>
  <si>
    <t>C-11987-2025</t>
  </si>
  <si>
    <t>C-13660-2024</t>
  </si>
  <si>
    <t>C-10612-2024</t>
  </si>
  <si>
    <t>C-20011-2024</t>
  </si>
  <si>
    <t>C-13283-2024</t>
  </si>
  <si>
    <t>C-17361-2024</t>
  </si>
  <si>
    <t>C-8814-2024</t>
  </si>
  <si>
    <t>C-14524-2024</t>
  </si>
  <si>
    <t>C-13848-2022</t>
  </si>
  <si>
    <t>C-4102-2023</t>
  </si>
  <si>
    <t>C-956-2025</t>
  </si>
  <si>
    <t>C-1559-2025</t>
  </si>
  <si>
    <t>C-16333-2024</t>
  </si>
  <si>
    <t>C-20920-2024</t>
  </si>
  <si>
    <t>C-18662-2024</t>
  </si>
  <si>
    <t>C-18663-2024</t>
  </si>
  <si>
    <t>C-907-2025</t>
  </si>
  <si>
    <t>C-18940-2024</t>
  </si>
  <si>
    <t>C-11399-2023</t>
  </si>
  <si>
    <t>C-11938-2024</t>
  </si>
  <si>
    <t>12° Juzgado Civil de SANTIAGO</t>
  </si>
  <si>
    <t>22° Juzgado Civil de SANTIAGO</t>
  </si>
  <si>
    <t>13° Juzgado Civil de SANTIAGO</t>
  </si>
  <si>
    <t>17° Juzgado Civil de SANTIAGO</t>
  </si>
  <si>
    <t>8° Juzgado Civil de SANTIAGO</t>
  </si>
  <si>
    <t>2° Juzgado Civil de VIÑA DEL MAR</t>
  </si>
  <si>
    <t>29° Juzgado Civil de SANTIAGO</t>
  </si>
  <si>
    <t>21° Juzgado Civil de SANTIAGO</t>
  </si>
  <si>
    <t>14° Juzgado Civil de SANTIAGO</t>
  </si>
  <si>
    <t>3° Juzgado Civil de VIÑA DEL MAR</t>
  </si>
  <si>
    <t>9° Juzgado Civil de SANTIAGO</t>
  </si>
  <si>
    <t xml:space="preserve">° Juzgado Civil de </t>
  </si>
  <si>
    <t>18° Juzgado Civil de SANTIAGO</t>
  </si>
  <si>
    <t>3° Juzgado Civil de SAN MIGUEL</t>
  </si>
  <si>
    <t>20° Juzgado Civil de SANTIAGO</t>
  </si>
  <si>
    <t>3° Juzgado Civil de SANTIAGO</t>
  </si>
  <si>
    <t>30° Juzgado Civil de SANTIAGO</t>
  </si>
  <si>
    <t>28° Juzgado Civil de SANTIAGO</t>
  </si>
  <si>
    <t>4° Juzgado Civil de SAN MIGUEL</t>
  </si>
  <si>
    <t>1° Juzgado Civil de SAN MIGUEL</t>
  </si>
  <si>
    <t>25° Juzgado Civil de SANTIAGO</t>
  </si>
  <si>
    <t>15° Juzgado Civil de SANTIAGO</t>
  </si>
  <si>
    <t>19° Juzgado Civil de SANTIAGO</t>
  </si>
  <si>
    <t>16° Juzgado Civil de SANTIAGO</t>
  </si>
  <si>
    <t>27° Juzgado Civil de SANTIAGO</t>
  </si>
  <si>
    <t>11° Juzgado Civil de SANTIAGO</t>
  </si>
  <si>
    <t>4° Juzgado Civil de SANTIAGO</t>
  </si>
  <si>
    <t>6° Juzgado Civil de SANTIAGO</t>
  </si>
  <si>
    <t>5° Juzgado Civil de SANTIAGO</t>
  </si>
  <si>
    <t>26° Juzgado Civil de SANTIAGO</t>
  </si>
  <si>
    <t>2° Juzgado Civil de CONCEPCIÓN</t>
  </si>
  <si>
    <t>24° Juzgado Civil de SANTIAGO</t>
  </si>
  <si>
    <t>23° Juzgado Civil de SANTIAGO</t>
  </si>
  <si>
    <t>2° Juzgado Civil de TEMUCO</t>
  </si>
  <si>
    <t>7° Juzgado Civil de SANTIAGO</t>
  </si>
  <si>
    <t>3° Juzgado Civil de CONCEPCIÓN</t>
  </si>
  <si>
    <t>2° Juzgado Civil de SANTIAGO</t>
  </si>
  <si>
    <t>10° Juzgado Civil de SANTIAGO</t>
  </si>
  <si>
    <t>1° Juzgado Civil de SANTIAGO</t>
  </si>
  <si>
    <t>1° Juzgado Civil de CONCEPCIÓN</t>
  </si>
  <si>
    <t>2° Juzgado Civil de RANCAGUA</t>
  </si>
  <si>
    <t>1° Juzgado Civil de CHILLAN</t>
  </si>
  <si>
    <t>1° Juzgado Civil de RANCAGUA</t>
  </si>
  <si>
    <t>76698184-4</t>
  </si>
  <si>
    <t>26345173-2</t>
  </si>
  <si>
    <t>6495003-7</t>
  </si>
  <si>
    <t>76372937-0</t>
  </si>
  <si>
    <t>77029289-1</t>
  </si>
  <si>
    <t>13456206-4</t>
  </si>
  <si>
    <t>76636009-2</t>
  </si>
  <si>
    <t>13267559-7</t>
  </si>
  <si>
    <t>76470618-8</t>
  </si>
  <si>
    <t>76093631-6</t>
  </si>
  <si>
    <t>77165540-8</t>
  </si>
  <si>
    <t>77807850-3</t>
  </si>
  <si>
    <t>15899896-3</t>
  </si>
  <si>
    <t>77240043-8</t>
  </si>
  <si>
    <t>76286823-7</t>
  </si>
  <si>
    <t>76275979-9</t>
  </si>
  <si>
    <t>13940625-7</t>
  </si>
  <si>
    <t>13289085-4</t>
  </si>
  <si>
    <t>9178558-7</t>
  </si>
  <si>
    <t>76904735-2</t>
  </si>
  <si>
    <t>18246855-K</t>
  </si>
  <si>
    <t>76736230-7</t>
  </si>
  <si>
    <t>12286614-9</t>
  </si>
  <si>
    <t>13048121-3</t>
  </si>
  <si>
    <t>12241695-K</t>
  </si>
  <si>
    <t>22519970-1</t>
  </si>
  <si>
    <t>7963317-8</t>
  </si>
  <si>
    <t>22609132-7</t>
  </si>
  <si>
    <t>11650114-7</t>
  </si>
  <si>
    <t>76444638-0</t>
  </si>
  <si>
    <t>13243145-0</t>
  </si>
  <si>
    <t>10192988-4</t>
  </si>
  <si>
    <t>14441307-5</t>
  </si>
  <si>
    <t>12510822-9</t>
  </si>
  <si>
    <t>7625864-3</t>
  </si>
  <si>
    <t>77131017-6</t>
  </si>
  <si>
    <t>9897069-K</t>
  </si>
  <si>
    <t>9897069-k</t>
  </si>
  <si>
    <t>13734415-7</t>
  </si>
  <si>
    <t>18964379-9</t>
  </si>
  <si>
    <t>17028962-5</t>
  </si>
  <si>
    <t>18050729-9</t>
  </si>
  <si>
    <t>15184177-5</t>
  </si>
  <si>
    <t>15349673-0</t>
  </si>
  <si>
    <t>77167233-7</t>
  </si>
  <si>
    <t>76412203-8</t>
  </si>
  <si>
    <t>9577263-3</t>
  </si>
  <si>
    <t>8984857-1</t>
  </si>
  <si>
    <t>12586413-9</t>
  </si>
  <si>
    <t>7386456-9</t>
  </si>
  <si>
    <t>16348696-2</t>
  </si>
  <si>
    <t>7859645-7</t>
  </si>
  <si>
    <t>15411670-2</t>
  </si>
  <si>
    <t>9460713-2</t>
  </si>
  <si>
    <t>10975796-9</t>
  </si>
  <si>
    <t>5924055-2</t>
  </si>
  <si>
    <t>24288913-4</t>
  </si>
  <si>
    <t>15888579-4</t>
  </si>
  <si>
    <t>5712595-0</t>
  </si>
  <si>
    <t>11655877-7</t>
  </si>
  <si>
    <t>77349196-8</t>
  </si>
  <si>
    <t>15331421-7</t>
  </si>
  <si>
    <t>7098887-9</t>
  </si>
  <si>
    <t>12380394-9</t>
  </si>
  <si>
    <t>11493592-1</t>
  </si>
  <si>
    <t>15661615-K</t>
  </si>
  <si>
    <t>13902559-8</t>
  </si>
  <si>
    <t>14475619-3</t>
  </si>
  <si>
    <t>12811416-5</t>
  </si>
  <si>
    <t>7537811-4</t>
  </si>
  <si>
    <t>7547175-0</t>
  </si>
  <si>
    <t>16219917-K</t>
  </si>
  <si>
    <t>12846418-2</t>
  </si>
  <si>
    <t>6045565-1</t>
  </si>
  <si>
    <t>23736382-5</t>
  </si>
  <si>
    <t>15160885-K</t>
  </si>
  <si>
    <t>10049214-8</t>
  </si>
  <si>
    <t>11872648-0</t>
  </si>
  <si>
    <t>13575020-4</t>
  </si>
  <si>
    <t>9039731-1</t>
  </si>
  <si>
    <t>15077812-3</t>
  </si>
  <si>
    <t>10915066-5</t>
  </si>
  <si>
    <t>12584525-8</t>
  </si>
  <si>
    <t>77541300-K</t>
  </si>
  <si>
    <t>76445041-8</t>
  </si>
  <si>
    <t>76319077-3</t>
  </si>
  <si>
    <t>8065026-4</t>
  </si>
  <si>
    <t>7480811-5</t>
  </si>
  <si>
    <t>16742693-K</t>
  </si>
  <si>
    <t>7010383-4</t>
  </si>
  <si>
    <t>17651463-9</t>
  </si>
  <si>
    <t>77015124-4</t>
  </si>
  <si>
    <t>7015430-7</t>
  </si>
  <si>
    <t>12523665-0</t>
  </si>
  <si>
    <t>18275242-8</t>
  </si>
  <si>
    <t>17395633-9</t>
  </si>
  <si>
    <t>16476085-5</t>
  </si>
  <si>
    <t>13921940-6</t>
  </si>
  <si>
    <t>7234240-2</t>
  </si>
  <si>
    <t>76057673-5</t>
  </si>
  <si>
    <t>12868466-2</t>
  </si>
  <si>
    <t>78509330-5</t>
  </si>
  <si>
    <t>77105775-6</t>
  </si>
  <si>
    <t>12722335-1</t>
  </si>
  <si>
    <t>13156813-4</t>
  </si>
  <si>
    <t>13934701-3</t>
  </si>
  <si>
    <t>12474511-K</t>
  </si>
  <si>
    <t>76852198-0</t>
  </si>
  <si>
    <t>76420863-3</t>
  </si>
  <si>
    <t>76957232-5</t>
  </si>
  <si>
    <t>76582191-6</t>
  </si>
  <si>
    <t>76034403-6</t>
  </si>
  <si>
    <t>76952052-K</t>
  </si>
  <si>
    <t>15563305-0</t>
  </si>
  <si>
    <t>25788420-1</t>
  </si>
  <si>
    <t>14283688-2</t>
  </si>
  <si>
    <t>76886442-K</t>
  </si>
  <si>
    <t>77177455-5</t>
  </si>
  <si>
    <t>22527535-1</t>
  </si>
  <si>
    <t>10940303-2</t>
  </si>
  <si>
    <t>14059177-7</t>
  </si>
  <si>
    <t>8126500-3</t>
  </si>
  <si>
    <t>27110813-3</t>
  </si>
  <si>
    <t>12667323-K</t>
  </si>
  <si>
    <t>77414929-5</t>
  </si>
  <si>
    <t>76912053-K</t>
  </si>
  <si>
    <t>76988921-3</t>
  </si>
  <si>
    <t>76769595-0</t>
  </si>
  <si>
    <t>77031538-7</t>
  </si>
  <si>
    <t>10272216-7</t>
  </si>
  <si>
    <t>27110847-8</t>
  </si>
  <si>
    <t>76048753-8</t>
  </si>
  <si>
    <t>76099202-K</t>
  </si>
  <si>
    <t>76590098-0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</si>
</sst>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##,###,##\-#"/>
    <numFmt numFmtId="168" formatCode="yyyy&quot;-&quot;mm&quot;-&quot;dd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1" fillId="0" borderId="0" xfId="0" applyFont="1"/>
    <xf numFmtId="166" fontId="2" fillId="0" borderId="1" xfId="0" applyNumberFormat="1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168" fontId="2" fillId="0" borderId="1" xfId="0" applyNumberFormat="1" applyFont="1" applyBorder="1" applyAlignment="1">
      <alignment vertical="center"/>
    </xf>
    <xf numFmtId="168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5"/>
  <sheetViews>
    <sheetView tabSelected="1" workbookViewId="0">
      <selection activeCell="I16" sqref="I16"/>
    </sheetView>
  </sheetViews>
  <sheetFormatPr baseColWidth="10" defaultRowHeight="16" x14ac:dyDescent="0.2"/>
  <cols>
    <col min="1" max="1" width="20.83203125" customWidth="1"/>
    <col min="2" max="3" width="30.83203125" customWidth="1"/>
    <col min="4" max="4" width="26.1640625" customWidth="1"/>
    <col min="5" max="5" width="34.33203125" customWidth="1"/>
    <col min="6" max="6" width="24.1640625" bestFit="1" customWidth="1"/>
    <col min="7" max="7" width="25.6640625" bestFit="1" customWidth="1"/>
  </cols>
  <sheetData>
    <row r="1" spans="1:7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t="s">
        <v>142</v>
      </c>
      <c r="B2" t="str">
        <f>"BANCO DE CHILE"&amp;"/"&amp;E2</f>
        <v>BANCO DE CHILE/WORLD PALLETS ECO LIMITADA</v>
      </c>
      <c r="C2" s="3" t="s">
        <v>388</v>
      </c>
      <c r="D2" s="6" t="s">
        <v>431</v>
      </c>
      <c r="E2" s="1" t="s">
        <v>7</v>
      </c>
      <c r="F2">
        <v>81693135</v>
      </c>
      <c r="G2" s="8">
        <v>45559</v>
      </c>
    </row>
    <row r="3" spans="1:7" x14ac:dyDescent="0.2">
      <c r="A3" t="s">
        <v>143</v>
      </c>
      <c r="B3" t="str">
        <f t="shared" ref="B3:B66" si="0">"BANCO DE CHILE"&amp;"/"&amp;E3</f>
        <v>BANCO DE CHILE/WORLD PALLETS ECO LIMITADA</v>
      </c>
      <c r="C3" s="3" t="s">
        <v>388</v>
      </c>
      <c r="D3" s="6" t="s">
        <v>431</v>
      </c>
      <c r="E3" s="1" t="s">
        <v>7</v>
      </c>
      <c r="F3">
        <v>9890412</v>
      </c>
      <c r="G3" s="8">
        <v>45656</v>
      </c>
    </row>
    <row r="4" spans="1:7" x14ac:dyDescent="0.2">
      <c r="A4" t="s">
        <v>144</v>
      </c>
      <c r="B4" t="str">
        <f t="shared" si="0"/>
        <v>BANCO DE CHILE/WIDELSON JESÚS HIDALGO VOLCÁN</v>
      </c>
      <c r="C4" s="3" t="s">
        <v>389</v>
      </c>
      <c r="D4" s="6" t="s">
        <v>432</v>
      </c>
      <c r="E4" s="1" t="s">
        <v>8</v>
      </c>
      <c r="F4">
        <v>310436615</v>
      </c>
      <c r="G4" s="8">
        <v>45643</v>
      </c>
    </row>
    <row r="5" spans="1:7" x14ac:dyDescent="0.2">
      <c r="A5" t="s">
        <v>145</v>
      </c>
      <c r="B5" t="str">
        <f t="shared" si="0"/>
        <v>BANCO DE CHILE/WALTER EDUARDO CASTRO PÉREZ</v>
      </c>
      <c r="C5" s="3" t="s">
        <v>388</v>
      </c>
      <c r="D5" s="6" t="s">
        <v>433</v>
      </c>
      <c r="E5" s="1" t="s">
        <v>9</v>
      </c>
      <c r="F5">
        <v>12037082</v>
      </c>
      <c r="G5" s="8">
        <v>45764</v>
      </c>
    </row>
    <row r="6" spans="1:7" x14ac:dyDescent="0.2">
      <c r="A6" t="s">
        <v>146</v>
      </c>
      <c r="B6" t="str">
        <f t="shared" si="0"/>
        <v>BANCO DE CHILE/WALTER EDUARDO CASTRO PÉREZ</v>
      </c>
      <c r="C6" s="3" t="s">
        <v>389</v>
      </c>
      <c r="D6" s="6" t="s">
        <v>433</v>
      </c>
      <c r="E6" s="1" t="s">
        <v>9</v>
      </c>
      <c r="F6">
        <v>8414556</v>
      </c>
      <c r="G6" s="8">
        <v>45764</v>
      </c>
    </row>
    <row r="7" spans="1:7" x14ac:dyDescent="0.2">
      <c r="A7" t="s">
        <v>147</v>
      </c>
      <c r="B7" t="str">
        <f t="shared" si="0"/>
        <v>BANCO DE CHILE/WALTER EDUARDO CASTRO PÉREZ</v>
      </c>
      <c r="C7" s="4" t="s">
        <v>388</v>
      </c>
      <c r="D7" s="6" t="s">
        <v>433</v>
      </c>
      <c r="E7" s="1" t="s">
        <v>9</v>
      </c>
      <c r="F7">
        <v>5592829</v>
      </c>
      <c r="G7" s="8">
        <v>45764</v>
      </c>
    </row>
    <row r="8" spans="1:7" x14ac:dyDescent="0.2">
      <c r="A8" t="s">
        <v>148</v>
      </c>
      <c r="B8" t="str">
        <f t="shared" si="0"/>
        <v>BANCO DE CHILE/VISION ONLINE SPA</v>
      </c>
      <c r="C8" s="3" t="s">
        <v>390</v>
      </c>
      <c r="D8" s="6" t="s">
        <v>434</v>
      </c>
      <c r="E8" s="1" t="s">
        <v>10</v>
      </c>
      <c r="F8">
        <v>5000000</v>
      </c>
      <c r="G8" s="8">
        <v>45348</v>
      </c>
    </row>
    <row r="9" spans="1:7" x14ac:dyDescent="0.2">
      <c r="A9" t="s">
        <v>149</v>
      </c>
      <c r="B9" t="str">
        <f t="shared" si="0"/>
        <v>BANCO DE CHILE/VISIÓN ELEKTRA SPA</v>
      </c>
      <c r="C9" s="3" t="s">
        <v>391</v>
      </c>
      <c r="D9" s="6" t="s">
        <v>435</v>
      </c>
      <c r="E9" s="1" t="s">
        <v>11</v>
      </c>
      <c r="F9">
        <v>21764306</v>
      </c>
      <c r="G9" s="8">
        <v>45251</v>
      </c>
    </row>
    <row r="10" spans="1:7" x14ac:dyDescent="0.2">
      <c r="A10" t="s">
        <v>150</v>
      </c>
      <c r="B10" t="str">
        <f t="shared" si="0"/>
        <v>BANCO DE CHILE/VÍCTOR RODRIGO GONZÁLEZ LÓPEZ</v>
      </c>
      <c r="C10" s="4" t="s">
        <v>392</v>
      </c>
      <c r="D10" s="6" t="s">
        <v>436</v>
      </c>
      <c r="E10" s="1" t="s">
        <v>12</v>
      </c>
      <c r="F10">
        <v>295611515</v>
      </c>
      <c r="G10" s="8">
        <v>45176</v>
      </c>
    </row>
    <row r="11" spans="1:7" x14ac:dyDescent="0.2">
      <c r="A11" t="s">
        <v>151</v>
      </c>
      <c r="B11" t="str">
        <f t="shared" si="0"/>
        <v>BANCO DE CHILE/VÍCTOR RODRIGO GONZÁLEZ LÓPEZ</v>
      </c>
      <c r="C11" s="4" t="s">
        <v>389</v>
      </c>
      <c r="D11" s="6" t="s">
        <v>436</v>
      </c>
      <c r="E11" s="1" t="s">
        <v>12</v>
      </c>
      <c r="F11">
        <v>124548329</v>
      </c>
      <c r="G11" s="8">
        <v>45491</v>
      </c>
    </row>
    <row r="12" spans="1:7" x14ac:dyDescent="0.2">
      <c r="A12" t="s">
        <v>152</v>
      </c>
      <c r="B12" t="str">
        <f t="shared" si="0"/>
        <v>BANCO DE CHILE/VÍCTOR RODRIGO GONZÁLEZ LÓPEZ</v>
      </c>
      <c r="C12" s="3" t="s">
        <v>388</v>
      </c>
      <c r="D12" s="6" t="s">
        <v>436</v>
      </c>
      <c r="E12" s="1" t="s">
        <v>12</v>
      </c>
      <c r="F12">
        <v>6725168</v>
      </c>
      <c r="G12" s="8">
        <v>45329</v>
      </c>
    </row>
    <row r="13" spans="1:7" x14ac:dyDescent="0.2">
      <c r="A13" t="s">
        <v>153</v>
      </c>
      <c r="B13" t="str">
        <f t="shared" si="0"/>
        <v>BANCO DE CHILE/VÍCTOR RODRIGO GONZÁLEZ LÓPEZ</v>
      </c>
      <c r="C13" s="3" t="s">
        <v>388</v>
      </c>
      <c r="D13" s="6" t="s">
        <v>436</v>
      </c>
      <c r="E13" s="1" t="s">
        <v>12</v>
      </c>
      <c r="F13">
        <v>5824582</v>
      </c>
      <c r="G13" s="8">
        <v>45264</v>
      </c>
    </row>
    <row r="14" spans="1:7" x14ac:dyDescent="0.2">
      <c r="A14" t="s">
        <v>154</v>
      </c>
      <c r="B14" t="str">
        <f t="shared" si="0"/>
        <v>BANCO DE CHILE/VÍCTOR RODRIGO GONZÁLEZ LÓPEZ</v>
      </c>
      <c r="C14" s="3" t="s">
        <v>393</v>
      </c>
      <c r="D14" s="6" t="s">
        <v>436</v>
      </c>
      <c r="E14" s="1" t="s">
        <v>12</v>
      </c>
      <c r="F14">
        <v>2814500</v>
      </c>
      <c r="G14" s="8">
        <v>45308</v>
      </c>
    </row>
    <row r="15" spans="1:7" x14ac:dyDescent="0.2">
      <c r="A15" t="s">
        <v>155</v>
      </c>
      <c r="B15" t="str">
        <f t="shared" si="0"/>
        <v>BANCO DE CHILE/TRANSPORTES OLEA LIMITADA</v>
      </c>
      <c r="C15" s="4" t="s">
        <v>394</v>
      </c>
      <c r="D15" s="6" t="s">
        <v>437</v>
      </c>
      <c r="E15" s="1" t="s">
        <v>13</v>
      </c>
      <c r="F15">
        <v>16971322</v>
      </c>
      <c r="G15" s="8">
        <v>45531</v>
      </c>
    </row>
    <row r="16" spans="1:7" x14ac:dyDescent="0.2">
      <c r="A16" t="s">
        <v>156</v>
      </c>
      <c r="B16" t="str">
        <f t="shared" si="0"/>
        <v>BANCO DE CHILE/SOLEDAD GISSELL MUÑOZ JIMÉNEZ</v>
      </c>
      <c r="C16" s="3" t="s">
        <v>395</v>
      </c>
      <c r="D16" s="6" t="s">
        <v>438</v>
      </c>
      <c r="E16" s="1" t="s">
        <v>14</v>
      </c>
      <c r="F16">
        <v>6259061</v>
      </c>
      <c r="G16" s="8">
        <v>45567</v>
      </c>
    </row>
    <row r="17" spans="1:7" x14ac:dyDescent="0.2">
      <c r="A17" t="s">
        <v>157</v>
      </c>
      <c r="B17" t="str">
        <f t="shared" si="0"/>
        <v>BANCO DE CHILE/SOLEDAD GISSELL MUÑOZ JIMÉNEZ</v>
      </c>
      <c r="C17" s="3" t="s">
        <v>389</v>
      </c>
      <c r="D17" s="6" t="s">
        <v>438</v>
      </c>
      <c r="E17" s="1" t="s">
        <v>14</v>
      </c>
      <c r="F17">
        <v>183894382</v>
      </c>
      <c r="G17" s="8">
        <v>45624</v>
      </c>
    </row>
    <row r="18" spans="1:7" x14ac:dyDescent="0.2">
      <c r="A18" t="s">
        <v>158</v>
      </c>
      <c r="B18" t="str">
        <f t="shared" si="0"/>
        <v>BANCO DE CHILE/SODESA SPA</v>
      </c>
      <c r="C18" s="4" t="s">
        <v>396</v>
      </c>
      <c r="D18" s="6" t="s">
        <v>439</v>
      </c>
      <c r="E18" s="1" t="s">
        <v>15</v>
      </c>
      <c r="F18">
        <v>16491309</v>
      </c>
      <c r="G18" s="8">
        <v>45801</v>
      </c>
    </row>
    <row r="19" spans="1:7" x14ac:dyDescent="0.2">
      <c r="A19" t="s">
        <v>159</v>
      </c>
      <c r="B19" t="str">
        <f t="shared" si="0"/>
        <v>BANCO DE CHILE/SOCIEDAD INMOBILIARIA TERRASUR LIMITADA</v>
      </c>
      <c r="C19" s="3" t="s">
        <v>393</v>
      </c>
      <c r="D19" s="6" t="s">
        <v>440</v>
      </c>
      <c r="E19" s="1" t="s">
        <v>16</v>
      </c>
      <c r="F19">
        <v>157611975</v>
      </c>
      <c r="G19" s="8">
        <v>45120</v>
      </c>
    </row>
    <row r="20" spans="1:7" x14ac:dyDescent="0.2">
      <c r="A20" t="s">
        <v>160</v>
      </c>
      <c r="B20" t="str">
        <f t="shared" si="0"/>
        <v>BANCO DE CHILE/SOCIEDAD INMOBILIARIA TERRASUR LIMITADA</v>
      </c>
      <c r="C20" s="3" t="s">
        <v>393</v>
      </c>
      <c r="D20" s="6" t="s">
        <v>440</v>
      </c>
      <c r="E20" s="1" t="s">
        <v>16</v>
      </c>
      <c r="F20">
        <v>43451194</v>
      </c>
      <c r="G20" s="8">
        <v>45841</v>
      </c>
    </row>
    <row r="21" spans="1:7" x14ac:dyDescent="0.2">
      <c r="A21" t="s">
        <v>161</v>
      </c>
      <c r="B21" t="str">
        <f t="shared" si="0"/>
        <v>BANCO DE CHILE/SOCIEDAD INMOBILIARIA TERRASUR LIMITADA</v>
      </c>
      <c r="C21" s="3" t="s">
        <v>397</v>
      </c>
      <c r="D21" s="6" t="s">
        <v>440</v>
      </c>
      <c r="E21" s="1" t="s">
        <v>16</v>
      </c>
      <c r="F21">
        <v>20000000</v>
      </c>
      <c r="G21" s="8">
        <v>45504</v>
      </c>
    </row>
    <row r="22" spans="1:7" x14ac:dyDescent="0.2">
      <c r="A22" t="s">
        <v>162</v>
      </c>
      <c r="B22" t="str">
        <f t="shared" si="0"/>
        <v>BANCO DE CHILE/SOCIEDAD DE SERVICIOS Y CAPACITACIÓN EN SEGURIDAD INTEGRAL LIMITADA</v>
      </c>
      <c r="C22" s="4" t="s">
        <v>398</v>
      </c>
      <c r="D22" s="6" t="s">
        <v>441</v>
      </c>
      <c r="E22" s="1" t="s">
        <v>17</v>
      </c>
      <c r="F22">
        <v>35571013</v>
      </c>
      <c r="G22" s="8">
        <v>45287</v>
      </c>
    </row>
    <row r="23" spans="1:7" x14ac:dyDescent="0.2">
      <c r="A23" t="s">
        <v>163</v>
      </c>
      <c r="B23" t="str">
        <f t="shared" si="0"/>
        <v>BANCO DE CHILE/SOCIEDAD DE SERVICIOS Y CAPACITACIÓN EN SEGURIDAD INTEGRAL LIMITADA</v>
      </c>
      <c r="C23" s="3" t="s">
        <v>399</v>
      </c>
      <c r="D23" s="6" t="s">
        <v>441</v>
      </c>
      <c r="E23" s="1" t="s">
        <v>17</v>
      </c>
      <c r="F23">
        <v>196510398</v>
      </c>
      <c r="G23" s="8">
        <v>45874</v>
      </c>
    </row>
    <row r="24" spans="1:7" x14ac:dyDescent="0.2">
      <c r="A24" t="s">
        <v>164</v>
      </c>
      <c r="B24" t="str">
        <f t="shared" si="0"/>
        <v>BANCO DE CHILE/SOCIEDAD DE SERVICIOS Y CAPACITACIÓN EN SEGURIDAD INTEGRAL LIMITADA</v>
      </c>
      <c r="C24" s="3" t="s">
        <v>388</v>
      </c>
      <c r="D24" s="6" t="s">
        <v>441</v>
      </c>
      <c r="E24" s="1" t="s">
        <v>17</v>
      </c>
      <c r="F24">
        <v>196510398</v>
      </c>
      <c r="G24" s="8">
        <v>45484</v>
      </c>
    </row>
    <row r="25" spans="1:7" x14ac:dyDescent="0.2">
      <c r="A25" t="s">
        <v>165</v>
      </c>
      <c r="B25" t="str">
        <f t="shared" si="0"/>
        <v>BANCO DE CHILE/SOCIEDAD DE SERVICIOS Y CAPACITACIÓN EN SEGURIDAD INTEGRAL LIMITADA</v>
      </c>
      <c r="C25" s="4" t="s">
        <v>388</v>
      </c>
      <c r="D25" s="6" t="s">
        <v>441</v>
      </c>
      <c r="E25" s="1" t="s">
        <v>17</v>
      </c>
      <c r="F25">
        <v>60631375</v>
      </c>
      <c r="G25" s="8">
        <v>45364</v>
      </c>
    </row>
    <row r="26" spans="1:7" x14ac:dyDescent="0.2">
      <c r="A26" t="s">
        <v>166</v>
      </c>
      <c r="B26" t="str">
        <f t="shared" si="0"/>
        <v>BANCO DE CHILE/SOCIEDAD DE SERVICIOS Y CAPACITACIÓN EN SEGURIDAD INTEGRAL LIMITADA</v>
      </c>
      <c r="C26" s="3" t="s">
        <v>388</v>
      </c>
      <c r="D26" s="6" t="s">
        <v>441</v>
      </c>
      <c r="E26" s="1" t="s">
        <v>17</v>
      </c>
      <c r="F26">
        <v>28211364</v>
      </c>
      <c r="G26" s="8">
        <v>45343</v>
      </c>
    </row>
    <row r="27" spans="1:7" x14ac:dyDescent="0.2">
      <c r="A27" t="s">
        <v>167</v>
      </c>
      <c r="B27" t="str">
        <f t="shared" si="0"/>
        <v>BANCO DE CHILE/SOCIEDAD COMERCIAL Y AGRÍCOLA EXPOFRUTA LIMITADA</v>
      </c>
      <c r="C27" s="3" t="s">
        <v>394</v>
      </c>
      <c r="D27" s="6" t="s">
        <v>442</v>
      </c>
      <c r="E27" s="1" t="s">
        <v>18</v>
      </c>
      <c r="F27">
        <v>507480946</v>
      </c>
      <c r="G27" s="8">
        <v>45497</v>
      </c>
    </row>
    <row r="28" spans="1:7" x14ac:dyDescent="0.2">
      <c r="A28" t="s">
        <v>168</v>
      </c>
      <c r="B28" t="str">
        <f t="shared" si="0"/>
        <v>BANCO DE CHILE/SIMÓN ESTEBAN FAÚNDEZ POBLETE</v>
      </c>
      <c r="C28" s="3" t="s">
        <v>400</v>
      </c>
      <c r="D28" s="6" t="s">
        <v>443</v>
      </c>
      <c r="E28" s="1" t="s">
        <v>19</v>
      </c>
      <c r="F28">
        <v>19915773</v>
      </c>
      <c r="G28" s="8">
        <v>45764</v>
      </c>
    </row>
    <row r="29" spans="1:7" x14ac:dyDescent="0.2">
      <c r="A29" t="s">
        <v>163</v>
      </c>
      <c r="B29" t="str">
        <f t="shared" si="0"/>
        <v>BANCO DE CHILE/SIMÓN ESTEBAN FAÚNDEZ POBLETE</v>
      </c>
      <c r="C29" s="3" t="s">
        <v>399</v>
      </c>
      <c r="D29" s="6" t="s">
        <v>443</v>
      </c>
      <c r="E29" s="1" t="s">
        <v>19</v>
      </c>
      <c r="F29">
        <v>19915773</v>
      </c>
      <c r="G29" s="8">
        <v>45898</v>
      </c>
    </row>
    <row r="30" spans="1:7" x14ac:dyDescent="0.2">
      <c r="A30" t="s">
        <v>169</v>
      </c>
      <c r="B30" t="str">
        <f t="shared" si="0"/>
        <v>BANCO DE CHILE/SIAM CLOTHES CHILE LIMITADA IMPORTADORA Y COMERCIALIZADORA</v>
      </c>
      <c r="C30" s="4" t="s">
        <v>401</v>
      </c>
      <c r="D30" s="6" t="s">
        <v>444</v>
      </c>
      <c r="E30" s="1" t="s">
        <v>20</v>
      </c>
      <c r="F30">
        <v>17553776</v>
      </c>
      <c r="G30" s="8">
        <v>45490</v>
      </c>
    </row>
    <row r="31" spans="1:7" x14ac:dyDescent="0.2">
      <c r="A31" t="s">
        <v>170</v>
      </c>
      <c r="B31" t="str">
        <f t="shared" si="0"/>
        <v>BANCO DE CHILE/SERVICIOS DE MANTENCIÓN MONTAJE Y OBRAS CIVILES CRC SPA</v>
      </c>
      <c r="C31" s="3" t="s">
        <v>402</v>
      </c>
      <c r="D31" s="6" t="s">
        <v>445</v>
      </c>
      <c r="E31" s="1" t="s">
        <v>21</v>
      </c>
      <c r="F31">
        <v>1827077</v>
      </c>
      <c r="G31" s="8">
        <v>45594</v>
      </c>
    </row>
    <row r="32" spans="1:7" x14ac:dyDescent="0.2">
      <c r="A32" t="s">
        <v>171</v>
      </c>
      <c r="B32" t="str">
        <f t="shared" si="0"/>
        <v>BANCO DE CHILE/SERVICIOS DE INGENIERÍA Y CONSTRUCCIÓN LIMITADA</v>
      </c>
      <c r="C32" s="4" t="s">
        <v>388</v>
      </c>
      <c r="D32" s="6" t="s">
        <v>446</v>
      </c>
      <c r="E32" s="1" t="s">
        <v>22</v>
      </c>
      <c r="F32">
        <v>36345026</v>
      </c>
      <c r="G32" s="8">
        <v>45441</v>
      </c>
    </row>
    <row r="33" spans="1:7" x14ac:dyDescent="0.2">
      <c r="A33" t="s">
        <v>172</v>
      </c>
      <c r="B33" t="str">
        <f t="shared" si="0"/>
        <v>BANCO DE CHILE/SERGIO DANILO BARRERA VEGA</v>
      </c>
      <c r="C33" s="4" t="s">
        <v>403</v>
      </c>
      <c r="D33" s="6" t="s">
        <v>447</v>
      </c>
      <c r="E33" s="1" t="s">
        <v>23</v>
      </c>
      <c r="F33">
        <v>182883841</v>
      </c>
      <c r="G33" s="8">
        <v>45012</v>
      </c>
    </row>
    <row r="34" spans="1:7" x14ac:dyDescent="0.2">
      <c r="A34" t="s">
        <v>173</v>
      </c>
      <c r="B34" t="str">
        <f t="shared" si="0"/>
        <v>BANCO DE CHILE/SERGIO DANILO BARRERA VEGA</v>
      </c>
      <c r="C34" s="3" t="s">
        <v>404</v>
      </c>
      <c r="D34" s="6" t="s">
        <v>447</v>
      </c>
      <c r="E34" s="1" t="s">
        <v>23</v>
      </c>
      <c r="F34">
        <v>14549956</v>
      </c>
      <c r="G34" s="8">
        <v>44995</v>
      </c>
    </row>
    <row r="35" spans="1:7" x14ac:dyDescent="0.2">
      <c r="A35" t="s">
        <v>174</v>
      </c>
      <c r="B35" t="str">
        <f t="shared" si="0"/>
        <v>BANCO DE CHILE/SERGIO DANILO BARRERA VEGA</v>
      </c>
      <c r="C35" s="3" t="s">
        <v>404</v>
      </c>
      <c r="D35" s="6" t="s">
        <v>447</v>
      </c>
      <c r="E35" s="1" t="s">
        <v>23</v>
      </c>
      <c r="F35">
        <v>1500000</v>
      </c>
      <c r="G35" s="8">
        <v>45106</v>
      </c>
    </row>
    <row r="36" spans="1:7" x14ac:dyDescent="0.2">
      <c r="A36" t="s">
        <v>175</v>
      </c>
      <c r="B36" t="str">
        <f t="shared" si="0"/>
        <v>BANCO DE CHILE/SERGIO ANDRÉS ORTIZ LAGOS</v>
      </c>
      <c r="C36" s="3" t="s">
        <v>405</v>
      </c>
      <c r="D36" s="6" t="s">
        <v>448</v>
      </c>
      <c r="E36" s="1" t="s">
        <v>24</v>
      </c>
      <c r="F36">
        <v>115174658</v>
      </c>
      <c r="G36" s="8">
        <v>44887</v>
      </c>
    </row>
    <row r="37" spans="1:7" x14ac:dyDescent="0.2">
      <c r="A37" t="s">
        <v>176</v>
      </c>
      <c r="B37" t="str">
        <f t="shared" si="0"/>
        <v>BANCO DE CHILE/SERGIO ANDRÉS ORTIZ LAGOS</v>
      </c>
      <c r="C37" s="4" t="s">
        <v>391</v>
      </c>
      <c r="D37" s="6" t="s">
        <v>448</v>
      </c>
      <c r="E37" s="1" t="s">
        <v>24</v>
      </c>
      <c r="F37">
        <v>68646667</v>
      </c>
      <c r="G37" s="8">
        <v>44882</v>
      </c>
    </row>
    <row r="38" spans="1:7" x14ac:dyDescent="0.2">
      <c r="A38" t="s">
        <v>177</v>
      </c>
      <c r="B38" t="str">
        <f t="shared" si="0"/>
        <v>BANCO DE CHILE/SERGIO ABRAHAM PEÑALOZA MARCHANT</v>
      </c>
      <c r="C38" s="3" t="s">
        <v>406</v>
      </c>
      <c r="D38" s="6" t="s">
        <v>449</v>
      </c>
      <c r="E38" s="1" t="s">
        <v>25</v>
      </c>
      <c r="F38">
        <v>35417420</v>
      </c>
      <c r="G38" s="8">
        <v>45524</v>
      </c>
    </row>
    <row r="39" spans="1:7" x14ac:dyDescent="0.2">
      <c r="A39" t="s">
        <v>178</v>
      </c>
      <c r="B39" t="str">
        <f t="shared" si="0"/>
        <v>BANCO DE CHILE/SCARLETTE IBARRA OLEA DISTRIBUIDORA E.I.R.L.</v>
      </c>
      <c r="C39" s="3" t="s">
        <v>405</v>
      </c>
      <c r="D39" s="6" t="s">
        <v>450</v>
      </c>
      <c r="E39" s="1" t="s">
        <v>26</v>
      </c>
      <c r="F39">
        <v>25365582</v>
      </c>
      <c r="G39" s="8">
        <v>45449</v>
      </c>
    </row>
    <row r="40" spans="1:7" x14ac:dyDescent="0.2">
      <c r="A40" t="s">
        <v>179</v>
      </c>
      <c r="B40" t="str">
        <f t="shared" si="0"/>
        <v>BANCO DE CHILE/SCARLETTE FRANCISCA IBARRA OLEA</v>
      </c>
      <c r="C40" s="3" t="s">
        <v>388</v>
      </c>
      <c r="D40" s="6" t="s">
        <v>451</v>
      </c>
      <c r="E40" s="1" t="s">
        <v>27</v>
      </c>
      <c r="F40">
        <v>73930443</v>
      </c>
      <c r="G40" s="8">
        <v>45105</v>
      </c>
    </row>
    <row r="41" spans="1:7" x14ac:dyDescent="0.2">
      <c r="A41" t="s">
        <v>180</v>
      </c>
      <c r="B41" t="str">
        <f t="shared" si="0"/>
        <v>BANCO DE CHILE/SCARLETTE FRANCISCA IBARRA OLEA</v>
      </c>
      <c r="C41" s="3" t="s">
        <v>405</v>
      </c>
      <c r="D41" s="6" t="s">
        <v>451</v>
      </c>
      <c r="E41" s="1" t="s">
        <v>27</v>
      </c>
      <c r="F41">
        <v>39111786</v>
      </c>
      <c r="G41" s="8">
        <v>45482</v>
      </c>
    </row>
    <row r="42" spans="1:7" x14ac:dyDescent="0.2">
      <c r="A42" t="s">
        <v>181</v>
      </c>
      <c r="B42" t="str">
        <f t="shared" si="0"/>
        <v>BANCO DE CHILE/RUIZ SOLUCIONES SPA</v>
      </c>
      <c r="C42" s="3" t="s">
        <v>407</v>
      </c>
      <c r="D42" s="6" t="s">
        <v>452</v>
      </c>
      <c r="E42" s="1" t="s">
        <v>28</v>
      </c>
      <c r="F42">
        <v>81275919</v>
      </c>
      <c r="G42" s="8">
        <v>45512</v>
      </c>
    </row>
    <row r="43" spans="1:7" x14ac:dyDescent="0.2">
      <c r="A43" t="s">
        <v>182</v>
      </c>
      <c r="B43" t="str">
        <f t="shared" si="0"/>
        <v>BANCO DE CHILE/ROSA ESTER BUSTAMANTE CID</v>
      </c>
      <c r="C43" s="4" t="s">
        <v>408</v>
      </c>
      <c r="D43" s="6" t="s">
        <v>453</v>
      </c>
      <c r="E43" s="1" t="s">
        <v>29</v>
      </c>
      <c r="F43">
        <v>109991464</v>
      </c>
      <c r="G43" s="8">
        <v>44819</v>
      </c>
    </row>
    <row r="44" spans="1:7" x14ac:dyDescent="0.2">
      <c r="A44" t="s">
        <v>183</v>
      </c>
      <c r="B44" t="str">
        <f t="shared" si="0"/>
        <v>BANCO DE CHILE/ROSA ESTER BUSTAMANTE CID</v>
      </c>
      <c r="C44" s="3" t="s">
        <v>409</v>
      </c>
      <c r="D44" s="6" t="s">
        <v>453</v>
      </c>
      <c r="E44" s="1" t="s">
        <v>29</v>
      </c>
      <c r="F44">
        <v>25660292</v>
      </c>
      <c r="G44" s="8">
        <v>44755</v>
      </c>
    </row>
    <row r="45" spans="1:7" x14ac:dyDescent="0.2">
      <c r="A45" t="s">
        <v>184</v>
      </c>
      <c r="B45" t="str">
        <f t="shared" si="0"/>
        <v>BANCO DE CHILE/ROSA ESTER BUSTAMANTE CID</v>
      </c>
      <c r="C45" s="3" t="s">
        <v>409</v>
      </c>
      <c r="D45" s="6" t="s">
        <v>453</v>
      </c>
      <c r="E45" s="1" t="s">
        <v>29</v>
      </c>
      <c r="F45">
        <v>6050000</v>
      </c>
      <c r="G45" s="8">
        <v>44894</v>
      </c>
    </row>
    <row r="46" spans="1:7" x14ac:dyDescent="0.2">
      <c r="A46" t="s">
        <v>185</v>
      </c>
      <c r="B46" t="str">
        <f t="shared" si="0"/>
        <v>BANCO DE CHILE/ROSA ESTER BUSTAMANTE CID</v>
      </c>
      <c r="C46" s="4" t="s">
        <v>408</v>
      </c>
      <c r="D46" s="6" t="s">
        <v>453</v>
      </c>
      <c r="E46" s="1" t="s">
        <v>29</v>
      </c>
      <c r="F46">
        <v>4329365</v>
      </c>
      <c r="G46" s="8">
        <v>44894</v>
      </c>
    </row>
    <row r="47" spans="1:7" x14ac:dyDescent="0.2">
      <c r="A47" t="s">
        <v>186</v>
      </c>
      <c r="B47" t="str">
        <f t="shared" si="0"/>
        <v>BANCO DE CHILE/ROSA ESTER BUSTAMANTE CID</v>
      </c>
      <c r="C47" s="4" t="s">
        <v>409</v>
      </c>
      <c r="D47" s="6" t="s">
        <v>453</v>
      </c>
      <c r="E47" s="1" t="s">
        <v>29</v>
      </c>
      <c r="F47">
        <v>2625940</v>
      </c>
      <c r="G47" s="8">
        <v>44936</v>
      </c>
    </row>
    <row r="48" spans="1:7" x14ac:dyDescent="0.2">
      <c r="A48" t="s">
        <v>163</v>
      </c>
      <c r="B48" t="str">
        <f t="shared" si="0"/>
        <v>BANCO DE CHILE/ROSA ESTER BUSTAMANTE CID</v>
      </c>
      <c r="C48" s="3" t="s">
        <v>399</v>
      </c>
      <c r="D48" s="6" t="s">
        <v>453</v>
      </c>
      <c r="E48" s="1" t="s">
        <v>29</v>
      </c>
      <c r="F48">
        <v>2410025</v>
      </c>
      <c r="G48" s="8">
        <v>45897</v>
      </c>
    </row>
    <row r="49" spans="1:7" x14ac:dyDescent="0.2">
      <c r="A49" t="s">
        <v>187</v>
      </c>
      <c r="B49" t="str">
        <f t="shared" si="0"/>
        <v>BANCO DE CHILE/RODRIGO ANDRÉS LÓPEZ MÉNDEZ</v>
      </c>
      <c r="C49" s="3" t="s">
        <v>410</v>
      </c>
      <c r="D49" s="6" t="s">
        <v>454</v>
      </c>
      <c r="E49" s="1" t="s">
        <v>30</v>
      </c>
      <c r="F49">
        <v>49749573</v>
      </c>
      <c r="G49" s="8">
        <v>45588</v>
      </c>
    </row>
    <row r="50" spans="1:7" x14ac:dyDescent="0.2">
      <c r="A50" t="s">
        <v>188</v>
      </c>
      <c r="B50" t="str">
        <f t="shared" si="0"/>
        <v>BANCO DE CHILE/RODRIGO ANDRÉS LÓPEZ MÉNDEZ</v>
      </c>
      <c r="C50" s="4" t="s">
        <v>391</v>
      </c>
      <c r="D50" s="6" t="s">
        <v>454</v>
      </c>
      <c r="E50" s="1" t="s">
        <v>30</v>
      </c>
      <c r="F50">
        <v>49749573</v>
      </c>
      <c r="G50" s="8">
        <v>45888</v>
      </c>
    </row>
    <row r="51" spans="1:7" x14ac:dyDescent="0.2">
      <c r="A51" t="s">
        <v>189</v>
      </c>
      <c r="B51" t="str">
        <f t="shared" si="0"/>
        <v>BANCO DE CHILE/RODOLFO HERNÁN FRANCO RIVERA</v>
      </c>
      <c r="C51" s="3" t="s">
        <v>411</v>
      </c>
      <c r="D51" s="6" t="s">
        <v>455</v>
      </c>
      <c r="E51" s="1" t="s">
        <v>31</v>
      </c>
      <c r="F51">
        <v>34658134</v>
      </c>
      <c r="G51" s="8">
        <v>45701</v>
      </c>
    </row>
    <row r="52" spans="1:7" x14ac:dyDescent="0.2">
      <c r="A52" t="s">
        <v>190</v>
      </c>
      <c r="B52" t="str">
        <f t="shared" si="0"/>
        <v>BANCO DE CHILE/RENZO LEOPOLDO HERNÁNDEZ CALDERÓN</v>
      </c>
      <c r="C52" s="3" t="s">
        <v>401</v>
      </c>
      <c r="D52" s="6" t="s">
        <v>456</v>
      </c>
      <c r="E52" s="1" t="s">
        <v>32</v>
      </c>
      <c r="F52">
        <v>88062231</v>
      </c>
      <c r="G52" s="8">
        <v>45609</v>
      </c>
    </row>
    <row r="53" spans="1:7" x14ac:dyDescent="0.2">
      <c r="A53" t="s">
        <v>191</v>
      </c>
      <c r="B53" t="str">
        <f t="shared" si="0"/>
        <v>BANCO DE CHILE/RENZO LEOPOLDO HERNÁNDEZ CALDERÓN</v>
      </c>
      <c r="C53" s="3" t="s">
        <v>395</v>
      </c>
      <c r="D53" s="6" t="s">
        <v>456</v>
      </c>
      <c r="E53" s="1" t="s">
        <v>32</v>
      </c>
      <c r="F53">
        <v>88062231</v>
      </c>
      <c r="G53" s="8">
        <v>45244</v>
      </c>
    </row>
    <row r="54" spans="1:7" x14ac:dyDescent="0.2">
      <c r="A54" t="s">
        <v>192</v>
      </c>
      <c r="B54" t="str">
        <f t="shared" si="0"/>
        <v>BANCO DE CHILE/RENÉ ERNESTO FUENTES MELO</v>
      </c>
      <c r="C54" s="4" t="s">
        <v>412</v>
      </c>
      <c r="D54" s="6" t="s">
        <v>457</v>
      </c>
      <c r="E54" s="1" t="s">
        <v>33</v>
      </c>
      <c r="F54">
        <v>58369631</v>
      </c>
      <c r="G54" s="8">
        <v>45418</v>
      </c>
    </row>
    <row r="55" spans="1:7" x14ac:dyDescent="0.2">
      <c r="A55" t="s">
        <v>163</v>
      </c>
      <c r="B55" t="str">
        <f t="shared" si="0"/>
        <v>BANCO DE CHILE/RAMCHAND DUHLANI BHARAT</v>
      </c>
      <c r="C55" s="3" t="s">
        <v>399</v>
      </c>
      <c r="D55" s="6" t="s">
        <v>458</v>
      </c>
      <c r="E55" s="1" t="s">
        <v>34</v>
      </c>
      <c r="F55">
        <v>65168424</v>
      </c>
      <c r="G55" s="8">
        <v>45926</v>
      </c>
    </row>
    <row r="56" spans="1:7" x14ac:dyDescent="0.2">
      <c r="A56" t="s">
        <v>193</v>
      </c>
      <c r="B56" t="str">
        <f t="shared" si="0"/>
        <v>BANCO DE CHILE/RAFAEL ALEJANDRO PATIÑO SUÁREZ</v>
      </c>
      <c r="C56" s="3" t="s">
        <v>388</v>
      </c>
      <c r="D56" s="6" t="s">
        <v>459</v>
      </c>
      <c r="E56" s="1" t="s">
        <v>35</v>
      </c>
      <c r="F56">
        <v>7066738</v>
      </c>
      <c r="G56" s="8">
        <v>45485</v>
      </c>
    </row>
    <row r="57" spans="1:7" x14ac:dyDescent="0.2">
      <c r="A57" t="s">
        <v>194</v>
      </c>
      <c r="B57" t="str">
        <f t="shared" si="0"/>
        <v>BANCO DE CHILE/RAFAEL ALEJANDRO PATIÑO SUÁREZ</v>
      </c>
      <c r="C57" s="3" t="s">
        <v>388</v>
      </c>
      <c r="D57" s="6" t="s">
        <v>459</v>
      </c>
      <c r="E57" s="1" t="s">
        <v>35</v>
      </c>
      <c r="F57">
        <v>5000000</v>
      </c>
      <c r="G57" s="8">
        <v>45457</v>
      </c>
    </row>
    <row r="58" spans="1:7" x14ac:dyDescent="0.2">
      <c r="A58" t="s">
        <v>195</v>
      </c>
      <c r="B58" t="str">
        <f t="shared" si="0"/>
        <v>BANCO DE CHILE/PETROKEL SPA</v>
      </c>
      <c r="C58" s="3" t="s">
        <v>413</v>
      </c>
      <c r="D58" s="6" t="s">
        <v>460</v>
      </c>
      <c r="E58" s="1" t="s">
        <v>36</v>
      </c>
      <c r="F58">
        <v>184542209</v>
      </c>
      <c r="G58" s="8">
        <v>45490</v>
      </c>
    </row>
    <row r="59" spans="1:7" x14ac:dyDescent="0.2">
      <c r="A59" t="s">
        <v>196</v>
      </c>
      <c r="B59" t="str">
        <f t="shared" si="0"/>
        <v>BANCO DE CHILE/PEDRO ALFONSO PALMA SALAS</v>
      </c>
      <c r="C59" s="4" t="s">
        <v>391</v>
      </c>
      <c r="D59" s="6" t="s">
        <v>461</v>
      </c>
      <c r="E59" s="1" t="s">
        <v>37</v>
      </c>
      <c r="F59">
        <v>152884488</v>
      </c>
      <c r="G59" s="8">
        <v>45321</v>
      </c>
    </row>
    <row r="60" spans="1:7" x14ac:dyDescent="0.2">
      <c r="A60" t="s">
        <v>197</v>
      </c>
      <c r="B60" t="str">
        <f t="shared" si="0"/>
        <v>BANCO DE CHILE/PEDRO ALFONSO PALMA SALAS</v>
      </c>
      <c r="C60" s="4" t="s">
        <v>414</v>
      </c>
      <c r="D60" s="6" t="s">
        <v>461</v>
      </c>
      <c r="E60" s="1" t="s">
        <v>37</v>
      </c>
      <c r="F60">
        <v>37422920</v>
      </c>
      <c r="G60" s="8">
        <v>45287</v>
      </c>
    </row>
    <row r="61" spans="1:7" x14ac:dyDescent="0.2">
      <c r="A61" t="s">
        <v>198</v>
      </c>
      <c r="B61" t="str">
        <f t="shared" si="0"/>
        <v>BANCO DE CHILE/PAZ ANGÉLICA SAN MARTÍN CUADRA</v>
      </c>
      <c r="C61" s="3" t="s">
        <v>404</v>
      </c>
      <c r="D61" s="6" t="s">
        <v>462</v>
      </c>
      <c r="E61" s="1" t="s">
        <v>38</v>
      </c>
      <c r="F61">
        <v>21164398</v>
      </c>
      <c r="G61" s="8">
        <v>45615</v>
      </c>
    </row>
    <row r="62" spans="1:7" x14ac:dyDescent="0.2">
      <c r="A62" t="s">
        <v>199</v>
      </c>
      <c r="B62" t="str">
        <f t="shared" si="0"/>
        <v>BANCO DE CHILE/PAZ ANGÉLICA SAN MARTÍN CUADRA</v>
      </c>
      <c r="C62" s="3" t="s">
        <v>404</v>
      </c>
      <c r="D62" s="6" t="s">
        <v>462</v>
      </c>
      <c r="E62" s="1" t="s">
        <v>38</v>
      </c>
      <c r="F62">
        <v>3677255</v>
      </c>
      <c r="G62" s="8">
        <v>45684</v>
      </c>
    </row>
    <row r="63" spans="1:7" x14ac:dyDescent="0.2">
      <c r="A63" t="s">
        <v>200</v>
      </c>
      <c r="B63" t="str">
        <f t="shared" si="0"/>
        <v>BANCO DE CHILE/PATRICIO ANTONIO CARRILLO ZENTENO</v>
      </c>
      <c r="C63" s="3" t="s">
        <v>404</v>
      </c>
      <c r="D63" s="6" t="s">
        <v>463</v>
      </c>
      <c r="E63" s="1" t="s">
        <v>39</v>
      </c>
      <c r="F63">
        <v>186426679</v>
      </c>
      <c r="G63" s="8">
        <v>45674</v>
      </c>
    </row>
    <row r="64" spans="1:7" x14ac:dyDescent="0.2">
      <c r="A64" t="s">
        <v>201</v>
      </c>
      <c r="B64" t="str">
        <f t="shared" si="0"/>
        <v>BANCO DE CHILE/PATRICIO ANTONIO CARRILLO ZENTENO</v>
      </c>
      <c r="C64" s="3" t="s">
        <v>395</v>
      </c>
      <c r="D64" s="6" t="s">
        <v>463</v>
      </c>
      <c r="E64" s="1" t="s">
        <v>39</v>
      </c>
      <c r="F64">
        <v>31339875</v>
      </c>
      <c r="G64" s="8">
        <v>45593</v>
      </c>
    </row>
    <row r="65" spans="1:7" x14ac:dyDescent="0.2">
      <c r="A65" t="s">
        <v>202</v>
      </c>
      <c r="B65" t="str">
        <f t="shared" si="0"/>
        <v>BANCO DE CHILE/PATRICIO ALFREDO MORALES DE LA FUENTE</v>
      </c>
      <c r="C65" s="3" t="s">
        <v>389</v>
      </c>
      <c r="D65" s="6" t="s">
        <v>464</v>
      </c>
      <c r="E65" s="1" t="s">
        <v>40</v>
      </c>
      <c r="F65">
        <v>9214175</v>
      </c>
      <c r="G65" s="8">
        <v>44386</v>
      </c>
    </row>
    <row r="66" spans="1:7" x14ac:dyDescent="0.2">
      <c r="A66" t="s">
        <v>203</v>
      </c>
      <c r="B66" t="str">
        <f t="shared" si="0"/>
        <v>BANCO DE CHILE/PATRICIO ALFREDO MORALES DE LA FUENTE</v>
      </c>
      <c r="C66" s="4" t="s">
        <v>389</v>
      </c>
      <c r="D66" s="6" t="s">
        <v>464</v>
      </c>
      <c r="E66" s="1" t="s">
        <v>40</v>
      </c>
      <c r="F66">
        <v>6224069</v>
      </c>
      <c r="G66" s="8">
        <v>44390</v>
      </c>
    </row>
    <row r="67" spans="1:7" x14ac:dyDescent="0.2">
      <c r="A67" t="s">
        <v>204</v>
      </c>
      <c r="B67" t="str">
        <f t="shared" ref="B67:B130" si="1">"BANCO DE CHILE"&amp;"/"&amp;E67</f>
        <v>BANCO DE CHILE/PATRICIO ALFREDO MORALES DE LA FUENTE</v>
      </c>
      <c r="C67" s="3" t="s">
        <v>415</v>
      </c>
      <c r="D67" s="6" t="s">
        <v>464</v>
      </c>
      <c r="E67" s="1" t="s">
        <v>40</v>
      </c>
      <c r="F67">
        <v>5751673</v>
      </c>
      <c r="G67" s="8">
        <v>44693</v>
      </c>
    </row>
    <row r="68" spans="1:7" x14ac:dyDescent="0.2">
      <c r="A68" t="s">
        <v>205</v>
      </c>
      <c r="B68" t="str">
        <f t="shared" si="1"/>
        <v>BANCO DE CHILE/PATRICIA CLAUDIA ARMENDÁRIZ SILVA</v>
      </c>
      <c r="C68" s="3" t="s">
        <v>389</v>
      </c>
      <c r="D68" s="6" t="s">
        <v>465</v>
      </c>
      <c r="E68" s="1" t="s">
        <v>41</v>
      </c>
      <c r="F68">
        <v>30786172</v>
      </c>
      <c r="G68" s="8">
        <v>45688</v>
      </c>
    </row>
    <row r="69" spans="1:7" x14ac:dyDescent="0.2">
      <c r="A69" t="s">
        <v>206</v>
      </c>
      <c r="B69" t="str">
        <f t="shared" si="1"/>
        <v>BANCO DE CHILE/PATRICIA CLAUDIA ARMENDÁRIZ SILVA</v>
      </c>
      <c r="C69" s="3" t="s">
        <v>416</v>
      </c>
      <c r="D69" s="6" t="s">
        <v>465</v>
      </c>
      <c r="E69" s="1" t="s">
        <v>41</v>
      </c>
      <c r="F69">
        <v>11490489</v>
      </c>
      <c r="G69" s="8">
        <v>45859</v>
      </c>
    </row>
    <row r="70" spans="1:7" x14ac:dyDescent="0.2">
      <c r="A70" t="s">
        <v>207</v>
      </c>
      <c r="B70" t="str">
        <f t="shared" si="1"/>
        <v>BANCO DE CHILE/PARTNERPLAY SPA</v>
      </c>
      <c r="C70" s="3" t="s">
        <v>391</v>
      </c>
      <c r="D70" s="6" t="s">
        <v>466</v>
      </c>
      <c r="E70" s="1" t="s">
        <v>42</v>
      </c>
      <c r="F70">
        <v>2500000</v>
      </c>
      <c r="G70" s="8">
        <v>45476</v>
      </c>
    </row>
    <row r="71" spans="1:7" x14ac:dyDescent="0.2">
      <c r="A71" t="s">
        <v>208</v>
      </c>
      <c r="B71" t="str">
        <f t="shared" si="1"/>
        <v>BANCO DE CHILE/PARTNER PLAY SPA</v>
      </c>
      <c r="C71" s="4" t="s">
        <v>391</v>
      </c>
      <c r="D71" s="6" t="s">
        <v>466</v>
      </c>
      <c r="E71" s="1" t="s">
        <v>43</v>
      </c>
      <c r="F71">
        <v>3380274</v>
      </c>
      <c r="G71" s="8">
        <v>45096</v>
      </c>
    </row>
    <row r="72" spans="1:7" x14ac:dyDescent="0.2">
      <c r="A72" t="s">
        <v>209</v>
      </c>
      <c r="B72" t="str">
        <f t="shared" si="1"/>
        <v>BANCO DE CHILE/PAMELA DESIREE ARGANDOÑA ADASME</v>
      </c>
      <c r="C72" s="4" t="s">
        <v>417</v>
      </c>
      <c r="D72" s="6" t="s">
        <v>467</v>
      </c>
      <c r="E72" s="1" t="s">
        <v>44</v>
      </c>
      <c r="F72">
        <v>121877276</v>
      </c>
      <c r="G72" s="8">
        <v>45254</v>
      </c>
    </row>
    <row r="73" spans="1:7" x14ac:dyDescent="0.2">
      <c r="A73" t="s">
        <v>210</v>
      </c>
      <c r="B73" t="str">
        <f t="shared" si="1"/>
        <v>BANCO DE CHILE/PAMELA DESIREE ARGANDOÑA ADASME</v>
      </c>
      <c r="C73" s="4" t="s">
        <v>414</v>
      </c>
      <c r="D73" s="6" t="s">
        <v>468</v>
      </c>
      <c r="E73" s="1" t="s">
        <v>44</v>
      </c>
      <c r="F73">
        <v>11438203</v>
      </c>
      <c r="G73" s="8">
        <v>45418</v>
      </c>
    </row>
    <row r="74" spans="1:7" x14ac:dyDescent="0.2">
      <c r="A74" t="s">
        <v>163</v>
      </c>
      <c r="B74" t="str">
        <f t="shared" si="1"/>
        <v>BANCO DE CHILE/PAMELA DESIREE ARGANDOÑA ADASME</v>
      </c>
      <c r="C74" s="3" t="s">
        <v>399</v>
      </c>
      <c r="D74" s="6" t="s">
        <v>468</v>
      </c>
      <c r="E74" s="1" t="s">
        <v>44</v>
      </c>
      <c r="F74">
        <v>6775614</v>
      </c>
      <c r="G74" s="8">
        <v>45897</v>
      </c>
    </row>
    <row r="75" spans="1:7" x14ac:dyDescent="0.2">
      <c r="A75" t="s">
        <v>211</v>
      </c>
      <c r="B75" t="str">
        <f t="shared" si="1"/>
        <v>BANCO DE CHILE/PABLO ENRIQUE MORALES TRONCOSO</v>
      </c>
      <c r="C75" s="3" t="s">
        <v>389</v>
      </c>
      <c r="D75" s="6" t="s">
        <v>469</v>
      </c>
      <c r="E75" s="1" t="s">
        <v>45</v>
      </c>
      <c r="F75">
        <v>13384525</v>
      </c>
      <c r="G75" s="8">
        <v>45162</v>
      </c>
    </row>
    <row r="76" spans="1:7" x14ac:dyDescent="0.2">
      <c r="A76" t="s">
        <v>212</v>
      </c>
      <c r="B76" t="str">
        <f t="shared" si="1"/>
        <v>BANCO DE CHILE/PABLO ENRIQUE MORALES TRONCOSO</v>
      </c>
      <c r="C76" s="4" t="s">
        <v>418</v>
      </c>
      <c r="D76" s="6" t="s">
        <v>469</v>
      </c>
      <c r="E76" s="1" t="s">
        <v>45</v>
      </c>
      <c r="F76">
        <v>76118118</v>
      </c>
      <c r="G76" s="8">
        <v>45147</v>
      </c>
    </row>
    <row r="77" spans="1:7" x14ac:dyDescent="0.2">
      <c r="A77" t="s">
        <v>213</v>
      </c>
      <c r="B77" t="str">
        <f t="shared" si="1"/>
        <v>BANCO DE CHILE/PABLO ENRIQUE MORALES TRONCOSO</v>
      </c>
      <c r="C77" s="3" t="s">
        <v>418</v>
      </c>
      <c r="D77" s="6" t="s">
        <v>469</v>
      </c>
      <c r="E77" s="1" t="s">
        <v>45</v>
      </c>
      <c r="F77">
        <v>71519093</v>
      </c>
      <c r="G77" s="8">
        <v>45091</v>
      </c>
    </row>
    <row r="78" spans="1:7" x14ac:dyDescent="0.2">
      <c r="A78" t="s">
        <v>214</v>
      </c>
      <c r="B78" t="str">
        <f t="shared" si="1"/>
        <v>BANCO DE CHILE/NICOLÁS PATRICIO MANSILLA RODRÍGUEZ</v>
      </c>
      <c r="C78" s="3" t="s">
        <v>419</v>
      </c>
      <c r="D78" s="6" t="s">
        <v>470</v>
      </c>
      <c r="E78" s="1" t="s">
        <v>46</v>
      </c>
      <c r="F78">
        <v>79796949</v>
      </c>
      <c r="G78" s="8">
        <v>45471</v>
      </c>
    </row>
    <row r="79" spans="1:7" x14ac:dyDescent="0.2">
      <c r="A79" t="s">
        <v>215</v>
      </c>
      <c r="B79" t="str">
        <f t="shared" si="1"/>
        <v>BANCO DE CHILE/NICOLÁS PATRICIO MANSILLA RODRÍGUEZ</v>
      </c>
      <c r="C79" s="3" t="s">
        <v>417</v>
      </c>
      <c r="D79" s="6" t="s">
        <v>470</v>
      </c>
      <c r="E79" s="1" t="s">
        <v>46</v>
      </c>
      <c r="F79">
        <v>6607912</v>
      </c>
      <c r="G79" s="8">
        <v>45343</v>
      </c>
    </row>
    <row r="80" spans="1:7" x14ac:dyDescent="0.2">
      <c r="A80" t="s">
        <v>216</v>
      </c>
      <c r="B80" t="str">
        <f t="shared" si="1"/>
        <v>BANCO DE CHILE/NICOLÁS ORLANDO ALBORNOZ PÉREZ</v>
      </c>
      <c r="C80" s="4" t="s">
        <v>409</v>
      </c>
      <c r="D80" s="6" t="s">
        <v>471</v>
      </c>
      <c r="E80" s="1" t="s">
        <v>47</v>
      </c>
      <c r="F80">
        <v>12396913</v>
      </c>
      <c r="G80" s="8">
        <v>45485</v>
      </c>
    </row>
    <row r="81" spans="1:7" x14ac:dyDescent="0.2">
      <c r="A81" t="s">
        <v>142</v>
      </c>
      <c r="B81" t="str">
        <f t="shared" si="1"/>
        <v>BANCO DE CHILE/NICOLÁS ORLANDO ALBORNOZ PÉREZ</v>
      </c>
      <c r="C81" s="4" t="s">
        <v>409</v>
      </c>
      <c r="D81" s="6" t="s">
        <v>471</v>
      </c>
      <c r="E81" s="1" t="s">
        <v>47</v>
      </c>
      <c r="F81">
        <v>1240000</v>
      </c>
      <c r="G81" s="8">
        <v>45533</v>
      </c>
    </row>
    <row r="82" spans="1:7" x14ac:dyDescent="0.2">
      <c r="A82" t="s">
        <v>217</v>
      </c>
      <c r="B82" t="str">
        <f t="shared" si="1"/>
        <v>BANCO DE CHILE/NICOLÁS EMANUEL SANDOVAL CORNEJO</v>
      </c>
      <c r="C82" s="3" t="s">
        <v>408</v>
      </c>
      <c r="D82" s="6" t="s">
        <v>472</v>
      </c>
      <c r="E82" s="1" t="s">
        <v>48</v>
      </c>
      <c r="F82">
        <v>70277926</v>
      </c>
      <c r="G82" s="8">
        <v>45614</v>
      </c>
    </row>
    <row r="83" spans="1:7" x14ac:dyDescent="0.2">
      <c r="A83" t="s">
        <v>218</v>
      </c>
      <c r="B83" t="str">
        <f t="shared" si="1"/>
        <v>BANCO DE CHILE/NICOLÁS EDUARDO NAVARRETE MIRA</v>
      </c>
      <c r="C83" s="3" t="s">
        <v>418</v>
      </c>
      <c r="D83" s="6" t="s">
        <v>473</v>
      </c>
      <c r="E83" s="1" t="s">
        <v>49</v>
      </c>
      <c r="F83">
        <v>14246515</v>
      </c>
      <c r="G83" s="8">
        <v>45527</v>
      </c>
    </row>
    <row r="84" spans="1:7" x14ac:dyDescent="0.2">
      <c r="A84" t="s">
        <v>219</v>
      </c>
      <c r="B84" t="str">
        <f t="shared" si="1"/>
        <v>BANCO DE CHILE/NICOLÁS EDUARDO NAVARRETE MIRA</v>
      </c>
      <c r="C84" s="3" t="s">
        <v>418</v>
      </c>
      <c r="D84" s="6" t="s">
        <v>473</v>
      </c>
      <c r="E84" s="1" t="s">
        <v>49</v>
      </c>
      <c r="F84">
        <v>5080000</v>
      </c>
      <c r="G84" s="8">
        <v>45546</v>
      </c>
    </row>
    <row r="85" spans="1:7" x14ac:dyDescent="0.2">
      <c r="A85" t="s">
        <v>220</v>
      </c>
      <c r="B85" t="str">
        <f t="shared" si="1"/>
        <v>BANCO DE CHILE/NICOLÁS EDUARDO NAVARRETE MIRA</v>
      </c>
      <c r="C85" s="3" t="s">
        <v>420</v>
      </c>
      <c r="D85" s="6" t="s">
        <v>473</v>
      </c>
      <c r="E85" s="1" t="s">
        <v>49</v>
      </c>
      <c r="F85">
        <v>5014873</v>
      </c>
      <c r="G85" s="8">
        <v>45545</v>
      </c>
    </row>
    <row r="86" spans="1:7" x14ac:dyDescent="0.2">
      <c r="A86" t="s">
        <v>221</v>
      </c>
      <c r="B86" t="str">
        <f t="shared" si="1"/>
        <v>BANCO DE CHILE/NATHALY KARINA DORAT CORONADO</v>
      </c>
      <c r="C86" s="3" t="s">
        <v>389</v>
      </c>
      <c r="D86" s="6" t="s">
        <v>474</v>
      </c>
      <c r="E86" s="1" t="s">
        <v>50</v>
      </c>
      <c r="F86">
        <v>3685000</v>
      </c>
      <c r="G86" s="8">
        <v>45348</v>
      </c>
    </row>
    <row r="87" spans="1:7" x14ac:dyDescent="0.2">
      <c r="A87" t="s">
        <v>222</v>
      </c>
      <c r="B87" t="str">
        <f t="shared" si="1"/>
        <v>BANCO DE CHILE/NATHALY KARINA DORAT CORONADO</v>
      </c>
      <c r="C87" s="4" t="s">
        <v>421</v>
      </c>
      <c r="D87" s="6" t="s">
        <v>474</v>
      </c>
      <c r="E87" s="1" t="s">
        <v>50</v>
      </c>
      <c r="F87">
        <v>30955170</v>
      </c>
      <c r="G87" s="8">
        <v>45307</v>
      </c>
    </row>
    <row r="88" spans="1:7" x14ac:dyDescent="0.2">
      <c r="A88" t="s">
        <v>223</v>
      </c>
      <c r="B88" t="str">
        <f t="shared" si="1"/>
        <v>BANCO DE CHILE/MR. PET SPA</v>
      </c>
      <c r="C88" s="3" t="s">
        <v>410</v>
      </c>
      <c r="D88" s="6" t="s">
        <v>475</v>
      </c>
      <c r="E88" s="1" t="s">
        <v>51</v>
      </c>
      <c r="F88">
        <v>54156391</v>
      </c>
      <c r="G88" s="8">
        <v>45505</v>
      </c>
    </row>
    <row r="89" spans="1:7" x14ac:dyDescent="0.2">
      <c r="A89" t="s">
        <v>224</v>
      </c>
      <c r="B89" t="str">
        <f t="shared" si="1"/>
        <v>BANCO DE CHILE/MORENO SERVICIO LIMITADA</v>
      </c>
      <c r="C89" s="3" t="s">
        <v>414</v>
      </c>
      <c r="D89" s="6" t="s">
        <v>476</v>
      </c>
      <c r="E89" s="1" t="s">
        <v>52</v>
      </c>
      <c r="F89">
        <v>9520711</v>
      </c>
      <c r="G89" s="8">
        <v>45615</v>
      </c>
    </row>
    <row r="90" spans="1:7" x14ac:dyDescent="0.2">
      <c r="A90" t="s">
        <v>225</v>
      </c>
      <c r="B90" t="str">
        <f t="shared" si="1"/>
        <v>BANCO DE CHILE/MÓNICA ELENA AGUIRRE MORA</v>
      </c>
      <c r="C90" s="3" t="s">
        <v>407</v>
      </c>
      <c r="D90" s="6" t="s">
        <v>477</v>
      </c>
      <c r="E90" s="1" t="s">
        <v>53</v>
      </c>
      <c r="F90">
        <v>8550000</v>
      </c>
      <c r="G90" s="8">
        <v>45457</v>
      </c>
    </row>
    <row r="91" spans="1:7" x14ac:dyDescent="0.2">
      <c r="A91" t="s">
        <v>226</v>
      </c>
      <c r="B91" t="str">
        <f t="shared" si="1"/>
        <v>BANCO DE CHILE/MÓNICA ELENA AGUIRRE MORA</v>
      </c>
      <c r="C91" s="3" t="s">
        <v>407</v>
      </c>
      <c r="D91" s="6" t="s">
        <v>477</v>
      </c>
      <c r="E91" s="1" t="s">
        <v>53</v>
      </c>
      <c r="F91">
        <v>2725543</v>
      </c>
      <c r="G91" s="8">
        <v>45401</v>
      </c>
    </row>
    <row r="92" spans="1:7" x14ac:dyDescent="0.2">
      <c r="A92" t="s">
        <v>227</v>
      </c>
      <c r="B92" t="str">
        <f t="shared" si="1"/>
        <v>BANCO DE CHILE/MOISÉS SEGUNDO HORMAZÁBAL HORMAZÁBAL</v>
      </c>
      <c r="C92" s="3" t="s">
        <v>412</v>
      </c>
      <c r="D92" s="6" t="s">
        <v>478</v>
      </c>
      <c r="E92" s="1" t="s">
        <v>54</v>
      </c>
      <c r="F92">
        <v>46514096</v>
      </c>
      <c r="G92" s="8">
        <v>39392</v>
      </c>
    </row>
    <row r="93" spans="1:7" x14ac:dyDescent="0.2">
      <c r="A93" t="s">
        <v>228</v>
      </c>
      <c r="B93" t="str">
        <f t="shared" si="1"/>
        <v>BANCO DE CHILE/MAURICIO ANTONIO GRANDÓN AHUMADA</v>
      </c>
      <c r="C93" s="3" t="s">
        <v>417</v>
      </c>
      <c r="D93" s="6" t="s">
        <v>479</v>
      </c>
      <c r="E93" s="1" t="s">
        <v>55</v>
      </c>
      <c r="F93">
        <v>139900974</v>
      </c>
      <c r="G93" s="8">
        <v>42641</v>
      </c>
    </row>
    <row r="94" spans="1:7" x14ac:dyDescent="0.2">
      <c r="A94" t="s">
        <v>229</v>
      </c>
      <c r="B94" t="str">
        <f t="shared" si="1"/>
        <v>BANCO DE CHILE/MAURICIO ANTONIO GRANDÓN AHUMADA</v>
      </c>
      <c r="C94" s="3" t="s">
        <v>395</v>
      </c>
      <c r="D94" s="6" t="s">
        <v>479</v>
      </c>
      <c r="E94" s="1" t="s">
        <v>55</v>
      </c>
      <c r="F94">
        <v>82610929</v>
      </c>
      <c r="G94" s="8">
        <v>42573</v>
      </c>
    </row>
    <row r="95" spans="1:7" x14ac:dyDescent="0.2">
      <c r="A95" t="s">
        <v>230</v>
      </c>
      <c r="B95" t="str">
        <f t="shared" si="1"/>
        <v>BANCO DE CHILE/MAURICIO ANTONIO GRANDÓN AHUMADA</v>
      </c>
      <c r="C95" s="3" t="s">
        <v>413</v>
      </c>
      <c r="D95" s="6" t="s">
        <v>479</v>
      </c>
      <c r="E95" s="1" t="s">
        <v>55</v>
      </c>
      <c r="F95">
        <v>57290045</v>
      </c>
      <c r="G95" s="8">
        <v>42486</v>
      </c>
    </row>
    <row r="96" spans="1:7" x14ac:dyDescent="0.2">
      <c r="A96" t="s">
        <v>231</v>
      </c>
      <c r="B96" t="str">
        <f t="shared" si="1"/>
        <v>BANCO DE CHILE/MARIO VERGARA FUENTES</v>
      </c>
      <c r="C96" s="3" t="s">
        <v>419</v>
      </c>
      <c r="D96" s="6" t="s">
        <v>480</v>
      </c>
      <c r="E96" s="1" t="s">
        <v>56</v>
      </c>
      <c r="F96">
        <v>91527737</v>
      </c>
      <c r="G96" s="8">
        <v>39951</v>
      </c>
    </row>
    <row r="97" spans="1:7" x14ac:dyDescent="0.2">
      <c r="A97" t="s">
        <v>232</v>
      </c>
      <c r="B97" t="str">
        <f t="shared" si="1"/>
        <v>BANCO DE CHILE/MARIO ALEJANDRO CANALES CONCHA</v>
      </c>
      <c r="C97" s="4" t="s">
        <v>412</v>
      </c>
      <c r="D97" s="6" t="s">
        <v>481</v>
      </c>
      <c r="E97" s="1" t="s">
        <v>57</v>
      </c>
      <c r="F97">
        <v>191041825</v>
      </c>
      <c r="G97" s="8">
        <v>45288</v>
      </c>
    </row>
    <row r="98" spans="1:7" x14ac:dyDescent="0.2">
      <c r="A98" t="s">
        <v>233</v>
      </c>
      <c r="B98" t="str">
        <f t="shared" si="1"/>
        <v>BANCO DE CHILE/MARIO ALEJANDRO CANALES CONCHA</v>
      </c>
      <c r="C98" s="3" t="s">
        <v>422</v>
      </c>
      <c r="D98" s="6" t="s">
        <v>481</v>
      </c>
      <c r="E98" s="1" t="s">
        <v>57</v>
      </c>
      <c r="F98">
        <v>59761976</v>
      </c>
      <c r="G98" s="8">
        <v>45209</v>
      </c>
    </row>
    <row r="99" spans="1:7" x14ac:dyDescent="0.2">
      <c r="A99" t="s">
        <v>234</v>
      </c>
      <c r="B99" t="str">
        <f t="shared" si="1"/>
        <v>BANCO DE CHILE/MARIO ALEJANDRO CANALES CONCHA</v>
      </c>
      <c r="C99" s="4" t="s">
        <v>423</v>
      </c>
      <c r="D99" s="6" t="s">
        <v>481</v>
      </c>
      <c r="E99" s="1" t="s">
        <v>57</v>
      </c>
      <c r="F99">
        <v>2741345</v>
      </c>
      <c r="G99" s="8">
        <v>45289</v>
      </c>
    </row>
    <row r="100" spans="1:7" x14ac:dyDescent="0.2">
      <c r="A100" t="s">
        <v>235</v>
      </c>
      <c r="B100" t="str">
        <f t="shared" si="1"/>
        <v>BANCO DE CHILE/MARIANELA EUGENIA PEÑA RODRÍGUEZ</v>
      </c>
      <c r="C100" s="3" t="s">
        <v>390</v>
      </c>
      <c r="D100" s="6" t="s">
        <v>482</v>
      </c>
      <c r="E100" s="1" t="s">
        <v>58</v>
      </c>
      <c r="F100">
        <v>17562475</v>
      </c>
      <c r="G100" s="8">
        <v>44840</v>
      </c>
    </row>
    <row r="101" spans="1:7" x14ac:dyDescent="0.2">
      <c r="A101" t="s">
        <v>236</v>
      </c>
      <c r="B101" t="str">
        <f t="shared" si="1"/>
        <v>BANCO DE CHILE/MARÍA ISABEL ARANDA MORALES</v>
      </c>
      <c r="C101" s="4" t="s">
        <v>400</v>
      </c>
      <c r="D101" s="6" t="s">
        <v>483</v>
      </c>
      <c r="E101" s="1" t="s">
        <v>59</v>
      </c>
      <c r="F101">
        <v>12355102</v>
      </c>
      <c r="G101" s="8">
        <v>45764</v>
      </c>
    </row>
    <row r="102" spans="1:7" x14ac:dyDescent="0.2">
      <c r="A102" t="s">
        <v>237</v>
      </c>
      <c r="B102" t="str">
        <f t="shared" si="1"/>
        <v>BANCO DE CHILE/MARÍA ISABEL ARANDA MORALES</v>
      </c>
      <c r="C102" s="4" t="s">
        <v>400</v>
      </c>
      <c r="D102" s="6" t="s">
        <v>483</v>
      </c>
      <c r="E102" s="1" t="s">
        <v>59</v>
      </c>
      <c r="F102">
        <v>1248915</v>
      </c>
      <c r="G102" s="8">
        <v>45764</v>
      </c>
    </row>
    <row r="103" spans="1:7" x14ac:dyDescent="0.2">
      <c r="A103" t="s">
        <v>238</v>
      </c>
      <c r="B103" t="str">
        <f t="shared" si="1"/>
        <v>BANCO DE CHILE/MARÍA ELENA CONTRERAS AYALA</v>
      </c>
      <c r="C103" s="3" t="s">
        <v>404</v>
      </c>
      <c r="D103" s="6" t="s">
        <v>484</v>
      </c>
      <c r="E103" s="1" t="s">
        <v>60</v>
      </c>
      <c r="F103">
        <v>8917396</v>
      </c>
      <c r="G103" s="8">
        <v>45258</v>
      </c>
    </row>
    <row r="104" spans="1:7" x14ac:dyDescent="0.2">
      <c r="A104" t="s">
        <v>239</v>
      </c>
      <c r="B104" t="str">
        <f t="shared" si="1"/>
        <v>BANCO DE CHILE/MARÍA ELENA CONTRERAS AYALA</v>
      </c>
      <c r="C104" s="3" t="s">
        <v>420</v>
      </c>
      <c r="D104" s="6" t="s">
        <v>484</v>
      </c>
      <c r="E104" s="1" t="s">
        <v>60</v>
      </c>
      <c r="F104">
        <v>1749412</v>
      </c>
      <c r="G104" s="8">
        <v>45764</v>
      </c>
    </row>
    <row r="105" spans="1:7" x14ac:dyDescent="0.2">
      <c r="A105" t="s">
        <v>163</v>
      </c>
      <c r="B105" t="str">
        <f t="shared" si="1"/>
        <v>BANCO DE CHILE/MARÍA ELENA CONTRERAS AYALA</v>
      </c>
      <c r="C105" s="3" t="s">
        <v>399</v>
      </c>
      <c r="D105" s="6" t="s">
        <v>484</v>
      </c>
      <c r="E105" s="1" t="s">
        <v>60</v>
      </c>
      <c r="F105">
        <v>1261172</v>
      </c>
      <c r="G105" s="8">
        <v>45880</v>
      </c>
    </row>
    <row r="106" spans="1:7" x14ac:dyDescent="0.2">
      <c r="A106" t="s">
        <v>163</v>
      </c>
      <c r="B106" t="str">
        <f t="shared" si="1"/>
        <v>BANCO DE CHILE/MARCELO IVÁN OYARZÚN HENRÍQUEZ</v>
      </c>
      <c r="C106" s="4" t="s">
        <v>399</v>
      </c>
      <c r="D106" s="6" t="s">
        <v>485</v>
      </c>
      <c r="E106" s="1" t="s">
        <v>61</v>
      </c>
      <c r="F106">
        <v>31040106</v>
      </c>
      <c r="G106" s="8">
        <v>45898</v>
      </c>
    </row>
    <row r="107" spans="1:7" x14ac:dyDescent="0.2">
      <c r="A107" t="s">
        <v>240</v>
      </c>
      <c r="B107" t="str">
        <f t="shared" si="1"/>
        <v>BANCO DE CHILE/MARCELO IVÁN OYARZÚN HENRÍQUEZ</v>
      </c>
      <c r="C107" s="3" t="s">
        <v>420</v>
      </c>
      <c r="D107" s="6" t="s">
        <v>485</v>
      </c>
      <c r="E107" s="1" t="s">
        <v>61</v>
      </c>
      <c r="F107">
        <v>31040106</v>
      </c>
      <c r="G107" s="8">
        <v>45428</v>
      </c>
    </row>
    <row r="108" spans="1:7" x14ac:dyDescent="0.2">
      <c r="A108" t="s">
        <v>241</v>
      </c>
      <c r="B108" t="str">
        <f t="shared" si="1"/>
        <v>BANCO DE CHILE/LUIS MANUEL CLAUDIO FERNÁNDEZ GONZÁLEZ</v>
      </c>
      <c r="C108" s="3" t="s">
        <v>392</v>
      </c>
      <c r="D108" s="6" t="s">
        <v>486</v>
      </c>
      <c r="E108" s="1" t="s">
        <v>62</v>
      </c>
      <c r="F108">
        <v>91910353</v>
      </c>
      <c r="G108" s="8">
        <v>44943</v>
      </c>
    </row>
    <row r="109" spans="1:7" x14ac:dyDescent="0.2">
      <c r="A109" t="s">
        <v>242</v>
      </c>
      <c r="B109" t="str">
        <f t="shared" si="1"/>
        <v>BANCO DE CHILE/LUIS MANUEL CLAUDIO FERNÁNDEZ GONZÁLEZ</v>
      </c>
      <c r="C109" s="3" t="s">
        <v>402</v>
      </c>
      <c r="D109" s="6" t="s">
        <v>486</v>
      </c>
      <c r="E109" s="1" t="s">
        <v>62</v>
      </c>
      <c r="F109">
        <v>55351608</v>
      </c>
      <c r="G109" s="8">
        <v>45610</v>
      </c>
    </row>
    <row r="110" spans="1:7" x14ac:dyDescent="0.2">
      <c r="A110" t="s">
        <v>243</v>
      </c>
      <c r="B110" t="str">
        <f t="shared" si="1"/>
        <v>BANCO DE CHILE/LUIS FRANCISCO LEMOS OSPINA</v>
      </c>
      <c r="C110" s="4" t="s">
        <v>414</v>
      </c>
      <c r="D110" s="6" t="s">
        <v>487</v>
      </c>
      <c r="E110" s="1" t="s">
        <v>63</v>
      </c>
      <c r="F110">
        <v>26154354</v>
      </c>
      <c r="G110" s="8">
        <v>45530</v>
      </c>
    </row>
    <row r="111" spans="1:7" x14ac:dyDescent="0.2">
      <c r="A111" t="s">
        <v>244</v>
      </c>
      <c r="B111" t="str">
        <f t="shared" si="1"/>
        <v>BANCO DE CHILE/LUIS FERNANDO VELÁSQUEZ ANABALÓN</v>
      </c>
      <c r="C111" s="3" t="s">
        <v>408</v>
      </c>
      <c r="D111" s="6" t="s">
        <v>488</v>
      </c>
      <c r="E111" s="1" t="s">
        <v>64</v>
      </c>
      <c r="F111">
        <v>109185167</v>
      </c>
      <c r="G111" s="8">
        <v>45764</v>
      </c>
    </row>
    <row r="112" spans="1:7" x14ac:dyDescent="0.2">
      <c r="A112" t="s">
        <v>245</v>
      </c>
      <c r="B112" t="str">
        <f t="shared" si="1"/>
        <v>BANCO DE CHILE/LUIS FERNANDO VELÁSQUEZ ANABALÓN</v>
      </c>
      <c r="C112" s="3" t="s">
        <v>392</v>
      </c>
      <c r="D112" s="6" t="s">
        <v>488</v>
      </c>
      <c r="E112" s="1" t="s">
        <v>64</v>
      </c>
      <c r="F112">
        <v>12176360</v>
      </c>
      <c r="G112" s="8">
        <v>45582</v>
      </c>
    </row>
    <row r="113" spans="1:7" x14ac:dyDescent="0.2">
      <c r="A113" t="s">
        <v>163</v>
      </c>
      <c r="B113" t="str">
        <f t="shared" si="1"/>
        <v>BANCO DE CHILE/LUIS EXEQUIEL REYES CRUZ</v>
      </c>
      <c r="C113" s="4" t="s">
        <v>399</v>
      </c>
      <c r="D113" s="6" t="s">
        <v>489</v>
      </c>
      <c r="E113" s="1" t="s">
        <v>65</v>
      </c>
      <c r="F113">
        <v>57045945</v>
      </c>
      <c r="G113" s="8">
        <v>45889</v>
      </c>
    </row>
    <row r="114" spans="1:7" x14ac:dyDescent="0.2">
      <c r="A114" t="s">
        <v>246</v>
      </c>
      <c r="B114" t="str">
        <f t="shared" si="1"/>
        <v>BANCO DE CHILE/LUIS EXEQUIEL REYES CRUZ</v>
      </c>
      <c r="C114" s="4" t="s">
        <v>424</v>
      </c>
      <c r="D114" s="6" t="s">
        <v>489</v>
      </c>
      <c r="E114" s="1" t="s">
        <v>65</v>
      </c>
      <c r="F114">
        <v>108922429</v>
      </c>
      <c r="G114" s="8">
        <v>43349</v>
      </c>
    </row>
    <row r="115" spans="1:7" x14ac:dyDescent="0.2">
      <c r="A115" t="s">
        <v>247</v>
      </c>
      <c r="B115" t="str">
        <f t="shared" si="1"/>
        <v>BANCO DE CHILE/LUIS EXEQUIEL REYES CRUZ</v>
      </c>
      <c r="C115" s="3" t="s">
        <v>389</v>
      </c>
      <c r="D115" s="6" t="s">
        <v>489</v>
      </c>
      <c r="E115" s="1" t="s">
        <v>65</v>
      </c>
      <c r="F115">
        <v>57045945</v>
      </c>
      <c r="G115" s="8">
        <v>43566</v>
      </c>
    </row>
    <row r="116" spans="1:7" x14ac:dyDescent="0.2">
      <c r="A116" t="s">
        <v>248</v>
      </c>
      <c r="B116" t="str">
        <f t="shared" si="1"/>
        <v>BANCO DE CHILE/LUIS ALBERTO SAAVEDRA MEDINA</v>
      </c>
      <c r="C116" s="3" t="s">
        <v>404</v>
      </c>
      <c r="D116" s="6" t="s">
        <v>490</v>
      </c>
      <c r="E116" s="1" t="s">
        <v>66</v>
      </c>
      <c r="F116">
        <v>56546215</v>
      </c>
      <c r="G116" s="8">
        <v>45498</v>
      </c>
    </row>
    <row r="117" spans="1:7" x14ac:dyDescent="0.2">
      <c r="A117" t="s">
        <v>249</v>
      </c>
      <c r="B117" t="str">
        <f t="shared" si="1"/>
        <v>BANCO DE CHILE/LUIS ALBERTO SAAVEDRA MEDINA</v>
      </c>
      <c r="C117" s="3" t="s">
        <v>411</v>
      </c>
      <c r="D117" s="6" t="s">
        <v>490</v>
      </c>
      <c r="E117" s="1" t="s">
        <v>66</v>
      </c>
      <c r="F117">
        <v>7240832</v>
      </c>
      <c r="G117" s="8">
        <v>45320</v>
      </c>
    </row>
    <row r="118" spans="1:7" x14ac:dyDescent="0.2">
      <c r="A118" t="s">
        <v>219</v>
      </c>
      <c r="B118" t="str">
        <f t="shared" si="1"/>
        <v>BANCO DE CHILE/LTH MEDICAL SALUD Y BIENESTAR SPA</v>
      </c>
      <c r="C118" s="3" t="s">
        <v>410</v>
      </c>
      <c r="D118" s="6" t="s">
        <v>491</v>
      </c>
      <c r="E118" s="1" t="s">
        <v>67</v>
      </c>
      <c r="F118">
        <v>12574328</v>
      </c>
      <c r="G118" s="8">
        <v>45378</v>
      </c>
    </row>
    <row r="119" spans="1:7" x14ac:dyDescent="0.2">
      <c r="A119" t="s">
        <v>250</v>
      </c>
      <c r="B119" t="str">
        <f t="shared" si="1"/>
        <v>BANCO DE CHILE/LTH MEDICAL SALUD Y BIENESTAR SPA</v>
      </c>
      <c r="C119" s="4" t="s">
        <v>410</v>
      </c>
      <c r="D119" s="6" t="s">
        <v>491</v>
      </c>
      <c r="E119" s="1" t="s">
        <v>67</v>
      </c>
      <c r="F119">
        <v>5000000</v>
      </c>
      <c r="G119" s="8">
        <v>45432</v>
      </c>
    </row>
    <row r="120" spans="1:7" x14ac:dyDescent="0.2">
      <c r="A120" t="s">
        <v>251</v>
      </c>
      <c r="B120" t="str">
        <f t="shared" si="1"/>
        <v>BANCO DE CHILE/LARRY ALEX DURÁN ABRILOT</v>
      </c>
      <c r="C120" s="4" t="s">
        <v>392</v>
      </c>
      <c r="D120" s="6" t="s">
        <v>492</v>
      </c>
      <c r="E120" s="1" t="s">
        <v>68</v>
      </c>
      <c r="F120">
        <v>83576164</v>
      </c>
      <c r="G120" s="8">
        <v>45419</v>
      </c>
    </row>
    <row r="121" spans="1:7" x14ac:dyDescent="0.2">
      <c r="A121" t="s">
        <v>252</v>
      </c>
      <c r="B121" t="str">
        <f t="shared" si="1"/>
        <v>BANCO DE CHILE/JULIO ERNESTO TAGLE BREVIS</v>
      </c>
      <c r="C121" s="4" t="s">
        <v>397</v>
      </c>
      <c r="D121" s="6" t="s">
        <v>493</v>
      </c>
      <c r="E121" s="1" t="s">
        <v>69</v>
      </c>
      <c r="F121">
        <v>50036216</v>
      </c>
      <c r="G121" s="8">
        <v>45105</v>
      </c>
    </row>
    <row r="122" spans="1:7" x14ac:dyDescent="0.2">
      <c r="A122" t="s">
        <v>253</v>
      </c>
      <c r="B122" t="str">
        <f t="shared" si="1"/>
        <v>BANCO DE CHILE/JUAN SANTIAGO CARRILLO HENRÍQUEZ</v>
      </c>
      <c r="C122" s="3" t="s">
        <v>410</v>
      </c>
      <c r="D122" s="6" t="s">
        <v>494</v>
      </c>
      <c r="E122" s="1" t="s">
        <v>70</v>
      </c>
      <c r="F122">
        <v>55319396</v>
      </c>
      <c r="G122" s="8">
        <v>44958</v>
      </c>
    </row>
    <row r="123" spans="1:7" x14ac:dyDescent="0.2">
      <c r="A123" t="s">
        <v>254</v>
      </c>
      <c r="B123" t="str">
        <f t="shared" si="1"/>
        <v>BANCO DE CHILE/JUAN SANTIAGO CARRILLO HENRÍQUEZ</v>
      </c>
      <c r="C123" s="4" t="s">
        <v>416</v>
      </c>
      <c r="D123" s="6" t="s">
        <v>494</v>
      </c>
      <c r="E123" s="1" t="s">
        <v>70</v>
      </c>
      <c r="F123">
        <v>5350469</v>
      </c>
      <c r="G123" s="8">
        <v>44698</v>
      </c>
    </row>
    <row r="124" spans="1:7" x14ac:dyDescent="0.2">
      <c r="A124" t="s">
        <v>255</v>
      </c>
      <c r="B124" t="str">
        <f t="shared" si="1"/>
        <v>BANCO DE CHILE/JUAN SANTIAGO CARRILLO HENRÍQUEZ</v>
      </c>
      <c r="C124" s="3" t="s">
        <v>416</v>
      </c>
      <c r="D124" s="6" t="s">
        <v>494</v>
      </c>
      <c r="E124" s="1" t="s">
        <v>70</v>
      </c>
      <c r="F124">
        <v>2167080</v>
      </c>
      <c r="G124" s="8">
        <v>45035</v>
      </c>
    </row>
    <row r="125" spans="1:7" x14ac:dyDescent="0.2">
      <c r="A125" t="s">
        <v>163</v>
      </c>
      <c r="B125" t="str">
        <f t="shared" si="1"/>
        <v>BANCO DE CHILE/JUAN PABLO SAN MARTÍN CARDEMIL</v>
      </c>
      <c r="C125" s="4" t="s">
        <v>399</v>
      </c>
      <c r="D125" s="6" t="s">
        <v>495</v>
      </c>
      <c r="E125" s="1" t="s">
        <v>71</v>
      </c>
      <c r="F125">
        <v>120262226</v>
      </c>
      <c r="G125" s="8">
        <v>45876</v>
      </c>
    </row>
    <row r="126" spans="1:7" x14ac:dyDescent="0.2">
      <c r="A126" t="s">
        <v>163</v>
      </c>
      <c r="B126" t="str">
        <f t="shared" si="1"/>
        <v>BANCO DE CHILE/JUAN PABLO SAN MARTÍN CARDEMIL</v>
      </c>
      <c r="C126" s="3" t="s">
        <v>399</v>
      </c>
      <c r="D126" s="6" t="s">
        <v>495</v>
      </c>
      <c r="E126" s="1" t="s">
        <v>71</v>
      </c>
      <c r="F126">
        <v>5452854</v>
      </c>
      <c r="G126" s="8">
        <v>45898</v>
      </c>
    </row>
    <row r="127" spans="1:7" x14ac:dyDescent="0.2">
      <c r="A127" t="s">
        <v>256</v>
      </c>
      <c r="B127" t="str">
        <f t="shared" si="1"/>
        <v>BANCO DE CHILE/JUAN PABLO SAN MARTÍN CARDEMIL</v>
      </c>
      <c r="C127" s="4" t="s">
        <v>388</v>
      </c>
      <c r="D127" s="6" t="s">
        <v>495</v>
      </c>
      <c r="E127" s="1" t="s">
        <v>71</v>
      </c>
      <c r="F127">
        <v>30484741</v>
      </c>
      <c r="G127" s="8">
        <v>45308</v>
      </c>
    </row>
    <row r="128" spans="1:7" x14ac:dyDescent="0.2">
      <c r="A128" t="s">
        <v>257</v>
      </c>
      <c r="B128" t="str">
        <f t="shared" si="1"/>
        <v>BANCO DE CHILE/JUAN PABLO SAN MARTÍN CARDEMIL</v>
      </c>
      <c r="C128" s="3" t="s">
        <v>388</v>
      </c>
      <c r="D128" s="6" t="s">
        <v>495</v>
      </c>
      <c r="E128" s="1" t="s">
        <v>71</v>
      </c>
      <c r="F128">
        <v>5452854</v>
      </c>
      <c r="G128" s="8">
        <v>45359</v>
      </c>
    </row>
    <row r="129" spans="1:7" x14ac:dyDescent="0.2">
      <c r="A129" t="s">
        <v>258</v>
      </c>
      <c r="B129" t="str">
        <f t="shared" si="1"/>
        <v>BANCO DE CHILE/JUAN GUILLERMO PALMA BUSTAMANTE</v>
      </c>
      <c r="C129" s="3" t="s">
        <v>400</v>
      </c>
      <c r="D129" s="6" t="s">
        <v>496</v>
      </c>
      <c r="E129" s="1" t="s">
        <v>72</v>
      </c>
      <c r="F129">
        <v>77527689</v>
      </c>
      <c r="G129" s="8">
        <v>45177</v>
      </c>
    </row>
    <row r="130" spans="1:7" x14ac:dyDescent="0.2">
      <c r="A130" t="s">
        <v>259</v>
      </c>
      <c r="B130" t="str">
        <f t="shared" si="1"/>
        <v>BANCO DE CHILE/JUAN GUILLERMO PALMA BUSTAMANTE</v>
      </c>
      <c r="C130" s="4" t="s">
        <v>404</v>
      </c>
      <c r="D130" s="6" t="s">
        <v>496</v>
      </c>
      <c r="E130" s="1" t="s">
        <v>72</v>
      </c>
      <c r="F130">
        <v>61825981</v>
      </c>
      <c r="G130" s="8">
        <v>45131</v>
      </c>
    </row>
    <row r="131" spans="1:7" x14ac:dyDescent="0.2">
      <c r="A131" t="s">
        <v>260</v>
      </c>
      <c r="B131" t="str">
        <f t="shared" ref="B131:B194" si="2">"BANCO DE CHILE"&amp;"/"&amp;E131</f>
        <v>BANCO DE CHILE/JUAN FRANCISCO HERNÁNDEZ GONZÁLEZ</v>
      </c>
      <c r="C131" s="4" t="s">
        <v>400</v>
      </c>
      <c r="D131" s="6" t="s">
        <v>497</v>
      </c>
      <c r="E131" s="1" t="s">
        <v>73</v>
      </c>
      <c r="F131">
        <v>108060378</v>
      </c>
      <c r="G131" s="8">
        <v>45259</v>
      </c>
    </row>
    <row r="132" spans="1:7" x14ac:dyDescent="0.2">
      <c r="A132" t="s">
        <v>261</v>
      </c>
      <c r="B132" t="str">
        <f t="shared" si="2"/>
        <v>BANCO DE CHILE/JUAN FRANCISCO HERNÁNDEZ GONZÁLEZ</v>
      </c>
      <c r="C132" s="4" t="s">
        <v>400</v>
      </c>
      <c r="D132" s="6" t="s">
        <v>497</v>
      </c>
      <c r="E132" s="1" t="s">
        <v>73</v>
      </c>
      <c r="F132">
        <v>51066945</v>
      </c>
      <c r="G132" s="8">
        <v>45244</v>
      </c>
    </row>
    <row r="133" spans="1:7" x14ac:dyDescent="0.2">
      <c r="A133" t="s">
        <v>262</v>
      </c>
      <c r="B133" t="str">
        <f t="shared" si="2"/>
        <v>BANCO DE CHILE/JUAN ELÍAS BURGOS VILLAGRA</v>
      </c>
      <c r="C133" s="3" t="s">
        <v>410</v>
      </c>
      <c r="D133" s="6" t="s">
        <v>498</v>
      </c>
      <c r="E133" s="1" t="s">
        <v>74</v>
      </c>
      <c r="F133">
        <v>18181904</v>
      </c>
      <c r="G133" s="8">
        <v>45565</v>
      </c>
    </row>
    <row r="134" spans="1:7" x14ac:dyDescent="0.2">
      <c r="A134" t="s">
        <v>263</v>
      </c>
      <c r="B134" t="str">
        <f t="shared" si="2"/>
        <v>BANCO DE CHILE/JUAN ANTONIO GONZÁLEZ CÓRDOVA</v>
      </c>
      <c r="C134" s="3" t="s">
        <v>396</v>
      </c>
      <c r="D134" s="6" t="s">
        <v>499</v>
      </c>
      <c r="E134" s="1" t="s">
        <v>75</v>
      </c>
      <c r="F134">
        <v>50377774</v>
      </c>
      <c r="G134" s="8">
        <v>45764</v>
      </c>
    </row>
    <row r="135" spans="1:7" x14ac:dyDescent="0.2">
      <c r="A135" t="s">
        <v>264</v>
      </c>
      <c r="B135" t="str">
        <f t="shared" si="2"/>
        <v>BANCO DE CHILE/JUAN ANTONIO GONZÁLEZ CÓRDOVA</v>
      </c>
      <c r="C135" s="3" t="s">
        <v>389</v>
      </c>
      <c r="D135" s="6" t="s">
        <v>499</v>
      </c>
      <c r="E135" s="1" t="s">
        <v>75</v>
      </c>
      <c r="F135">
        <v>4232528</v>
      </c>
      <c r="G135" s="8">
        <v>45764</v>
      </c>
    </row>
    <row r="136" spans="1:7" x14ac:dyDescent="0.2">
      <c r="A136" t="s">
        <v>265</v>
      </c>
      <c r="B136" t="str">
        <f t="shared" si="2"/>
        <v>BANCO DE CHILE/JUAN ÁNGEL URCOLA VALDÉS</v>
      </c>
      <c r="C136" s="3" t="s">
        <v>389</v>
      </c>
      <c r="D136" s="6" t="s">
        <v>500</v>
      </c>
      <c r="E136" s="1" t="s">
        <v>76</v>
      </c>
      <c r="F136">
        <v>295575605</v>
      </c>
      <c r="G136" s="8">
        <v>45572</v>
      </c>
    </row>
    <row r="137" spans="1:7" x14ac:dyDescent="0.2">
      <c r="A137" t="s">
        <v>266</v>
      </c>
      <c r="B137" t="str">
        <f t="shared" si="2"/>
        <v>BANCO DE CHILE/JUAN ÁNGEL URCOLA VALDÉS</v>
      </c>
      <c r="C137" s="3" t="s">
        <v>389</v>
      </c>
      <c r="D137" s="6" t="s">
        <v>500</v>
      </c>
      <c r="E137" s="1" t="s">
        <v>76</v>
      </c>
      <c r="F137">
        <v>74598343</v>
      </c>
      <c r="G137" s="8">
        <v>45495</v>
      </c>
    </row>
    <row r="138" spans="1:7" x14ac:dyDescent="0.2">
      <c r="A138" t="s">
        <v>267</v>
      </c>
      <c r="B138" t="str">
        <f t="shared" si="2"/>
        <v>BANCO DE CHILE/JUAN ÁNGEL URCOLA VALDÉS</v>
      </c>
      <c r="C138" s="3" t="s">
        <v>390</v>
      </c>
      <c r="D138" s="6" t="s">
        <v>500</v>
      </c>
      <c r="E138" s="1" t="s">
        <v>76</v>
      </c>
      <c r="F138">
        <v>64445742</v>
      </c>
      <c r="G138" s="8">
        <v>45482</v>
      </c>
    </row>
    <row r="139" spans="1:7" x14ac:dyDescent="0.2">
      <c r="A139" t="s">
        <v>268</v>
      </c>
      <c r="B139" t="str">
        <f t="shared" si="2"/>
        <v>BANCO DE CHILE/JUAN ÁNGEL URCOLA VALDÉS</v>
      </c>
      <c r="C139" s="3" t="s">
        <v>392</v>
      </c>
      <c r="D139" s="6" t="s">
        <v>500</v>
      </c>
      <c r="E139" s="1" t="s">
        <v>76</v>
      </c>
      <c r="F139">
        <v>55327972</v>
      </c>
      <c r="G139" s="8">
        <v>45029</v>
      </c>
    </row>
    <row r="140" spans="1:7" x14ac:dyDescent="0.2">
      <c r="A140" t="s">
        <v>269</v>
      </c>
      <c r="B140" t="str">
        <f t="shared" si="2"/>
        <v>BANCO DE CHILE/JOSÉ MANUEL RODRÍGUEZ MANGIAMARCHI</v>
      </c>
      <c r="C140" s="3" t="s">
        <v>388</v>
      </c>
      <c r="D140" s="6" t="s">
        <v>501</v>
      </c>
      <c r="E140" s="1" t="s">
        <v>77</v>
      </c>
      <c r="F140">
        <v>120046441</v>
      </c>
      <c r="G140" s="8">
        <v>42433</v>
      </c>
    </row>
    <row r="141" spans="1:7" x14ac:dyDescent="0.2">
      <c r="A141" t="s">
        <v>270</v>
      </c>
      <c r="B141" t="str">
        <f t="shared" si="2"/>
        <v>BANCO DE CHILE/JOSÉ MANUEL RODRÍGUEZ MANGIAMARCHI</v>
      </c>
      <c r="C141" s="3" t="s">
        <v>412</v>
      </c>
      <c r="D141" s="6" t="s">
        <v>501</v>
      </c>
      <c r="E141" s="1" t="s">
        <v>77</v>
      </c>
      <c r="F141">
        <v>9172359</v>
      </c>
      <c r="G141" s="8">
        <v>42485</v>
      </c>
    </row>
    <row r="142" spans="1:7" x14ac:dyDescent="0.2">
      <c r="A142" t="s">
        <v>271</v>
      </c>
      <c r="B142" t="str">
        <f t="shared" si="2"/>
        <v>BANCO DE CHILE/JOSÉ LUIS BUSTOS ESPINOZA</v>
      </c>
      <c r="C142" s="4" t="s">
        <v>410</v>
      </c>
      <c r="D142" s="6" t="s">
        <v>502</v>
      </c>
      <c r="E142" s="1" t="s">
        <v>78</v>
      </c>
      <c r="F142">
        <v>24138059</v>
      </c>
      <c r="G142" s="8">
        <v>45286</v>
      </c>
    </row>
    <row r="143" spans="1:7" x14ac:dyDescent="0.2">
      <c r="A143" t="s">
        <v>272</v>
      </c>
      <c r="B143" t="str">
        <f t="shared" si="2"/>
        <v>BANCO DE CHILE/JOSÉ LUIS BUSTOS ESPINOZA</v>
      </c>
      <c r="C143" s="3" t="s">
        <v>410</v>
      </c>
      <c r="D143" s="6" t="s">
        <v>502</v>
      </c>
      <c r="E143" s="1" t="s">
        <v>78</v>
      </c>
      <c r="F143">
        <v>1863296</v>
      </c>
      <c r="G143" s="8">
        <v>45414</v>
      </c>
    </row>
    <row r="144" spans="1:7" x14ac:dyDescent="0.2">
      <c r="A144" t="s">
        <v>273</v>
      </c>
      <c r="B144" t="str">
        <f t="shared" si="2"/>
        <v>BANCO DE CHILE/JOSÉ LUIS BARRIENTOS MURATUKA</v>
      </c>
      <c r="C144" s="4" t="s">
        <v>398</v>
      </c>
      <c r="D144" s="6" t="s">
        <v>503</v>
      </c>
      <c r="E144" s="1" t="s">
        <v>79</v>
      </c>
      <c r="F144">
        <v>39047879</v>
      </c>
      <c r="G144" s="8">
        <v>45308</v>
      </c>
    </row>
    <row r="145" spans="1:7" x14ac:dyDescent="0.2">
      <c r="A145" t="s">
        <v>274</v>
      </c>
      <c r="B145" t="str">
        <f t="shared" si="2"/>
        <v>BANCO DE CHILE/JOSÉ LUIS BARRIENTOS MURATUKA</v>
      </c>
      <c r="C145" s="4" t="s">
        <v>417</v>
      </c>
      <c r="D145" s="6" t="s">
        <v>503</v>
      </c>
      <c r="E145" s="1" t="s">
        <v>79</v>
      </c>
      <c r="F145">
        <v>26100015</v>
      </c>
      <c r="G145" s="8">
        <v>45364</v>
      </c>
    </row>
    <row r="146" spans="1:7" x14ac:dyDescent="0.2">
      <c r="A146" t="s">
        <v>275</v>
      </c>
      <c r="B146" t="str">
        <f t="shared" si="2"/>
        <v>BANCO DE CHILE/JOSÉ LUIS BARRIENTOS MURATUKA</v>
      </c>
      <c r="C146" s="4" t="s">
        <v>398</v>
      </c>
      <c r="D146" s="6" t="s">
        <v>503</v>
      </c>
      <c r="E146" s="1" t="s">
        <v>79</v>
      </c>
      <c r="G146" s="8">
        <v>45408</v>
      </c>
    </row>
    <row r="147" spans="1:7" x14ac:dyDescent="0.2">
      <c r="A147" t="s">
        <v>188</v>
      </c>
      <c r="B147" t="str">
        <f t="shared" si="2"/>
        <v>BANCO DE CHILE/JOSÉ LUIS BARRIENTOS MURATUKA</v>
      </c>
      <c r="C147" s="3" t="s">
        <v>396</v>
      </c>
      <c r="D147" s="6" t="s">
        <v>503</v>
      </c>
      <c r="E147" s="1" t="s">
        <v>79</v>
      </c>
      <c r="F147">
        <v>70865105</v>
      </c>
      <c r="G147" s="8">
        <v>45888</v>
      </c>
    </row>
    <row r="148" spans="1:7" x14ac:dyDescent="0.2">
      <c r="A148" t="s">
        <v>276</v>
      </c>
      <c r="B148" t="str">
        <f t="shared" si="2"/>
        <v>BANCO DE CHILE/JORGE RICARDO URRUTIA RIVEROS</v>
      </c>
      <c r="C148" s="3" t="s">
        <v>416</v>
      </c>
      <c r="D148" s="6" t="s">
        <v>504</v>
      </c>
      <c r="E148" s="1" t="s">
        <v>80</v>
      </c>
      <c r="F148">
        <v>37661780</v>
      </c>
      <c r="G148" s="8">
        <v>45316</v>
      </c>
    </row>
    <row r="149" spans="1:7" x14ac:dyDescent="0.2">
      <c r="A149" t="s">
        <v>277</v>
      </c>
      <c r="B149" t="str">
        <f t="shared" si="2"/>
        <v>BANCO DE CHILE/JHON FREDY SALAZAR SALAZAR</v>
      </c>
      <c r="C149" s="4" t="s">
        <v>394</v>
      </c>
      <c r="D149" s="6" t="s">
        <v>505</v>
      </c>
      <c r="E149" s="1" t="s">
        <v>81</v>
      </c>
      <c r="F149">
        <v>75088265</v>
      </c>
      <c r="G149" s="8">
        <v>45511</v>
      </c>
    </row>
    <row r="150" spans="1:7" x14ac:dyDescent="0.2">
      <c r="A150" t="s">
        <v>278</v>
      </c>
      <c r="B150" t="str">
        <f t="shared" si="2"/>
        <v>BANCO DE CHILE/JAVIER RODRIGO CISTERNA JELDRES</v>
      </c>
      <c r="C150" s="3" t="s">
        <v>395</v>
      </c>
      <c r="D150" s="6" t="s">
        <v>506</v>
      </c>
      <c r="E150" s="1" t="s">
        <v>82</v>
      </c>
      <c r="F150">
        <v>73675335</v>
      </c>
      <c r="G150" s="8">
        <v>45496</v>
      </c>
    </row>
    <row r="151" spans="1:7" x14ac:dyDescent="0.2">
      <c r="A151" t="s">
        <v>279</v>
      </c>
      <c r="B151" t="str">
        <f t="shared" si="2"/>
        <v>BANCO DE CHILE/JAVIER ORLANDO ELICER LEIVA</v>
      </c>
      <c r="C151" s="3" t="s">
        <v>408</v>
      </c>
      <c r="D151" s="6" t="s">
        <v>507</v>
      </c>
      <c r="E151" s="1" t="s">
        <v>83</v>
      </c>
      <c r="F151">
        <v>43705118</v>
      </c>
      <c r="G151" s="8">
        <v>45586</v>
      </c>
    </row>
    <row r="152" spans="1:7" x14ac:dyDescent="0.2">
      <c r="A152" t="s">
        <v>280</v>
      </c>
      <c r="B152" t="str">
        <f t="shared" si="2"/>
        <v>BANCO DE CHILE/JAVIER ORLANDO ELICER LEIVA</v>
      </c>
      <c r="C152" s="3" t="s">
        <v>406</v>
      </c>
      <c r="D152" s="6" t="s">
        <v>507</v>
      </c>
      <c r="E152" s="1" t="s">
        <v>83</v>
      </c>
      <c r="F152">
        <v>43705118</v>
      </c>
      <c r="G152" s="8">
        <v>45888</v>
      </c>
    </row>
    <row r="153" spans="1:7" x14ac:dyDescent="0.2">
      <c r="A153" t="s">
        <v>281</v>
      </c>
      <c r="B153" t="str">
        <f t="shared" si="2"/>
        <v>BANCO DE CHILE/JAIME PATRICIO MANSILLA FUENTEALBA</v>
      </c>
      <c r="C153" s="4" t="s">
        <v>410</v>
      </c>
      <c r="D153" s="6" t="s">
        <v>508</v>
      </c>
      <c r="E153" s="1" t="s">
        <v>84</v>
      </c>
      <c r="F153">
        <v>88381571</v>
      </c>
      <c r="G153" s="8">
        <v>45888</v>
      </c>
    </row>
    <row r="154" spans="1:7" x14ac:dyDescent="0.2">
      <c r="A154" t="s">
        <v>282</v>
      </c>
      <c r="B154" t="str">
        <f t="shared" si="2"/>
        <v>BANCO DE CHILE/JAIME PATRICIO MANSILLA FUENTEALBA</v>
      </c>
      <c r="C154" s="3" t="s">
        <v>388</v>
      </c>
      <c r="D154" s="6" t="s">
        <v>508</v>
      </c>
      <c r="E154" s="1" t="s">
        <v>84</v>
      </c>
      <c r="F154">
        <v>82889809</v>
      </c>
      <c r="G154" s="8">
        <v>45496</v>
      </c>
    </row>
    <row r="155" spans="1:7" x14ac:dyDescent="0.2">
      <c r="A155" t="s">
        <v>283</v>
      </c>
      <c r="B155" t="str">
        <f t="shared" si="2"/>
        <v>BANCO DE CHILE/JAIME PATRICIO MANSILLA FUENTEALBA</v>
      </c>
      <c r="C155" s="3" t="s">
        <v>407</v>
      </c>
      <c r="D155" s="6" t="s">
        <v>508</v>
      </c>
      <c r="E155" s="1" t="s">
        <v>84</v>
      </c>
      <c r="F155">
        <v>3491762</v>
      </c>
      <c r="G155" s="8">
        <v>45359</v>
      </c>
    </row>
    <row r="156" spans="1:7" x14ac:dyDescent="0.2">
      <c r="A156" t="s">
        <v>284</v>
      </c>
      <c r="B156" t="str">
        <f t="shared" si="2"/>
        <v>BANCO DE CHILE/JAIME PATRICIO MANSILLA FUENTEALBA</v>
      </c>
      <c r="C156" s="4" t="s">
        <v>390</v>
      </c>
      <c r="D156" s="6" t="s">
        <v>508</v>
      </c>
      <c r="E156" s="1" t="s">
        <v>84</v>
      </c>
      <c r="F156">
        <v>2000000</v>
      </c>
      <c r="G156" s="8">
        <v>45348</v>
      </c>
    </row>
    <row r="157" spans="1:7" x14ac:dyDescent="0.2">
      <c r="A157" t="s">
        <v>285</v>
      </c>
      <c r="B157" t="str">
        <f t="shared" si="2"/>
        <v>BANCO DE CHILE/JAIME LEONEL ROJAS VALDÉS</v>
      </c>
      <c r="C157" s="4" t="s">
        <v>417</v>
      </c>
      <c r="D157" s="6" t="s">
        <v>509</v>
      </c>
      <c r="E157" s="1" t="s">
        <v>85</v>
      </c>
      <c r="F157">
        <v>278240294</v>
      </c>
      <c r="G157" s="8">
        <v>45250</v>
      </c>
    </row>
    <row r="158" spans="1:7" x14ac:dyDescent="0.2">
      <c r="A158" t="s">
        <v>286</v>
      </c>
      <c r="B158" t="str">
        <f t="shared" si="2"/>
        <v>BANCO DE CHILE/JAIME LEONEL ROJAS VALDÉS</v>
      </c>
      <c r="C158" s="4" t="s">
        <v>424</v>
      </c>
      <c r="D158" s="6" t="s">
        <v>509</v>
      </c>
      <c r="E158" s="1" t="s">
        <v>85</v>
      </c>
      <c r="F158">
        <v>258778483</v>
      </c>
      <c r="G158" s="8">
        <v>45335</v>
      </c>
    </row>
    <row r="159" spans="1:7" x14ac:dyDescent="0.2">
      <c r="A159" t="s">
        <v>287</v>
      </c>
      <c r="B159" t="str">
        <f t="shared" si="2"/>
        <v>BANCO DE CHILE/JAIME LEONEL ROJAS VALDÉS</v>
      </c>
      <c r="C159" s="4" t="s">
        <v>414</v>
      </c>
      <c r="D159" s="6" t="s">
        <v>509</v>
      </c>
      <c r="E159" s="1" t="s">
        <v>85</v>
      </c>
      <c r="F159">
        <v>14999933</v>
      </c>
      <c r="G159" s="8">
        <v>45335</v>
      </c>
    </row>
    <row r="160" spans="1:7" x14ac:dyDescent="0.2">
      <c r="A160" t="s">
        <v>288</v>
      </c>
      <c r="B160" t="str">
        <f t="shared" si="2"/>
        <v>BANCO DE CHILE/IVÁN CÉSAR AHUMADA ARIAS</v>
      </c>
      <c r="C160" s="3" t="s">
        <v>398</v>
      </c>
      <c r="D160" s="6" t="s">
        <v>510</v>
      </c>
      <c r="E160" s="1" t="s">
        <v>86</v>
      </c>
      <c r="F160">
        <v>10000000</v>
      </c>
      <c r="G160" s="8">
        <v>45509</v>
      </c>
    </row>
    <row r="161" spans="1:7" x14ac:dyDescent="0.2">
      <c r="A161" t="s">
        <v>163</v>
      </c>
      <c r="B161" t="str">
        <f t="shared" si="2"/>
        <v>BANCO DE CHILE/IVÁN CÉSAR AHUMADA ARIAS</v>
      </c>
      <c r="C161" s="3" t="s">
        <v>399</v>
      </c>
      <c r="D161" s="6" t="s">
        <v>510</v>
      </c>
      <c r="E161" s="1" t="s">
        <v>86</v>
      </c>
      <c r="F161">
        <v>14970302</v>
      </c>
      <c r="G161" s="8">
        <v>45898</v>
      </c>
    </row>
    <row r="162" spans="1:7" x14ac:dyDescent="0.2">
      <c r="A162" t="s">
        <v>289</v>
      </c>
      <c r="B162" t="str">
        <f t="shared" si="2"/>
        <v>BANCO DE CHILE/IVÁN ALEJANDRO BUSTAMANTE MERCHAN</v>
      </c>
      <c r="C162" s="3" t="s">
        <v>393</v>
      </c>
      <c r="D162" s="6" t="s">
        <v>511</v>
      </c>
      <c r="E162" s="1" t="s">
        <v>87</v>
      </c>
      <c r="F162">
        <v>69731658</v>
      </c>
      <c r="G162" s="8">
        <v>44894</v>
      </c>
    </row>
    <row r="163" spans="1:7" x14ac:dyDescent="0.2">
      <c r="A163" t="s">
        <v>290</v>
      </c>
      <c r="B163" t="str">
        <f t="shared" si="2"/>
        <v>BANCO DE CHILE/IVÁN ALEJANDRO BUSTAMANTE MERCHAN</v>
      </c>
      <c r="C163" s="4" t="s">
        <v>390</v>
      </c>
      <c r="D163" s="6" t="s">
        <v>511</v>
      </c>
      <c r="E163" s="1" t="s">
        <v>87</v>
      </c>
      <c r="F163">
        <v>65356003</v>
      </c>
      <c r="G163" s="8">
        <v>44840</v>
      </c>
    </row>
    <row r="164" spans="1:7" x14ac:dyDescent="0.2">
      <c r="A164" t="s">
        <v>291</v>
      </c>
      <c r="B164" t="str">
        <f t="shared" si="2"/>
        <v>BANCO DE CHILE/ISABEL MARINA FLORES CAMPOS</v>
      </c>
      <c r="C164" s="3" t="s">
        <v>408</v>
      </c>
      <c r="D164" s="6" t="s">
        <v>512</v>
      </c>
      <c r="E164" s="1" t="s">
        <v>88</v>
      </c>
      <c r="F164">
        <v>47992770</v>
      </c>
      <c r="G164" s="8">
        <v>44929</v>
      </c>
    </row>
    <row r="165" spans="1:7" x14ac:dyDescent="0.2">
      <c r="A165" t="s">
        <v>292</v>
      </c>
      <c r="B165" t="str">
        <f t="shared" si="2"/>
        <v>BANCO DE CHILE/ISABEL MARINA FLORES CAMPOS</v>
      </c>
      <c r="C165" s="3" t="s">
        <v>408</v>
      </c>
      <c r="D165" s="6" t="s">
        <v>512</v>
      </c>
      <c r="E165" s="1" t="s">
        <v>88</v>
      </c>
      <c r="F165">
        <v>22625277</v>
      </c>
      <c r="G165" s="8">
        <v>45015</v>
      </c>
    </row>
    <row r="166" spans="1:7" x14ac:dyDescent="0.2">
      <c r="A166" t="s">
        <v>293</v>
      </c>
      <c r="B166" t="str">
        <f t="shared" si="2"/>
        <v>BANCO DE CHILE/ISABEL MARGARITA GAETE GAETE</v>
      </c>
      <c r="C166" s="3" t="s">
        <v>409</v>
      </c>
      <c r="D166" s="6" t="s">
        <v>513</v>
      </c>
      <c r="E166" s="1" t="s">
        <v>89</v>
      </c>
      <c r="F166">
        <v>6111453</v>
      </c>
      <c r="G166" s="8">
        <v>45817</v>
      </c>
    </row>
    <row r="167" spans="1:7" x14ac:dyDescent="0.2">
      <c r="A167" t="s">
        <v>163</v>
      </c>
      <c r="B167" t="str">
        <f t="shared" si="2"/>
        <v>BANCO DE CHILE/ISABEL MARGARITA GAETE GAETE</v>
      </c>
      <c r="C167" s="3" t="s">
        <v>399</v>
      </c>
      <c r="D167" s="6" t="s">
        <v>513</v>
      </c>
      <c r="E167" s="1" t="s">
        <v>89</v>
      </c>
      <c r="F167">
        <v>5543785</v>
      </c>
      <c r="G167" s="8">
        <v>45860</v>
      </c>
    </row>
    <row r="168" spans="1:7" x14ac:dyDescent="0.2">
      <c r="A168" t="s">
        <v>294</v>
      </c>
      <c r="B168" t="str">
        <f t="shared" si="2"/>
        <v>BANCO DE CHILE/INSTALACIONES TÉRMICAS SECAR LIMITADA</v>
      </c>
      <c r="C168" s="3" t="s">
        <v>390</v>
      </c>
      <c r="D168" s="6" t="s">
        <v>514</v>
      </c>
      <c r="E168" s="1" t="s">
        <v>90</v>
      </c>
      <c r="F168">
        <v>64039947</v>
      </c>
      <c r="G168" s="8">
        <v>44355</v>
      </c>
    </row>
    <row r="169" spans="1:7" x14ac:dyDescent="0.2">
      <c r="A169" t="s">
        <v>295</v>
      </c>
      <c r="B169" t="str">
        <f t="shared" si="2"/>
        <v>BANCO DE CHILE/INSTALACIONES TÉRMICAS SECAR LIMITADA</v>
      </c>
      <c r="C169" s="3" t="s">
        <v>403</v>
      </c>
      <c r="D169" s="6" t="s">
        <v>514</v>
      </c>
      <c r="E169" s="1" t="s">
        <v>90</v>
      </c>
      <c r="F169">
        <v>50818032</v>
      </c>
      <c r="G169" s="8">
        <v>44312</v>
      </c>
    </row>
    <row r="170" spans="1:7" x14ac:dyDescent="0.2">
      <c r="A170" t="s">
        <v>296</v>
      </c>
      <c r="B170" t="str">
        <f t="shared" si="2"/>
        <v>BANCO DE CHILE/INSTALACIONES TÉRMICAS SECAR LIMITADA</v>
      </c>
      <c r="C170" s="3" t="s">
        <v>390</v>
      </c>
      <c r="D170" s="6" t="s">
        <v>514</v>
      </c>
      <c r="E170" s="1" t="s">
        <v>90</v>
      </c>
      <c r="F170">
        <v>9500000</v>
      </c>
      <c r="G170" s="8">
        <v>44403</v>
      </c>
    </row>
    <row r="171" spans="1:7" x14ac:dyDescent="0.2">
      <c r="A171" t="s">
        <v>297</v>
      </c>
      <c r="B171" t="str">
        <f t="shared" si="2"/>
        <v>BANCO DE CHILE/INGENIERIA Y CONSTRUCCION 3 C LIMITADA</v>
      </c>
      <c r="C171" s="3" t="s">
        <v>425</v>
      </c>
      <c r="D171" s="6" t="s">
        <v>515</v>
      </c>
      <c r="E171" s="1" t="s">
        <v>91</v>
      </c>
      <c r="F171">
        <v>10081805</v>
      </c>
      <c r="G171" s="8">
        <v>45533</v>
      </c>
    </row>
    <row r="172" spans="1:7" x14ac:dyDescent="0.2">
      <c r="A172" t="s">
        <v>298</v>
      </c>
      <c r="B172" t="str">
        <f t="shared" si="2"/>
        <v>BANCO DE CHILE/IMPORTADORA ROMEE LIMITADA</v>
      </c>
      <c r="C172" s="3" t="s">
        <v>392</v>
      </c>
      <c r="D172" s="6" t="s">
        <v>516</v>
      </c>
      <c r="E172" s="1" t="s">
        <v>92</v>
      </c>
      <c r="F172">
        <v>51021797</v>
      </c>
      <c r="G172" s="8">
        <v>45176</v>
      </c>
    </row>
    <row r="173" spans="1:7" x14ac:dyDescent="0.2">
      <c r="A173" t="s">
        <v>299</v>
      </c>
      <c r="B173" t="str">
        <f t="shared" si="2"/>
        <v>BANCO DE CHILE/HUGO FERNANDO ÁGUILA LÓPEZ</v>
      </c>
      <c r="C173" s="3" t="s">
        <v>395</v>
      </c>
      <c r="D173" s="6" t="s">
        <v>517</v>
      </c>
      <c r="E173" s="1" t="s">
        <v>93</v>
      </c>
      <c r="F173">
        <v>25234094</v>
      </c>
      <c r="G173" s="8">
        <v>45496</v>
      </c>
    </row>
    <row r="174" spans="1:7" x14ac:dyDescent="0.2">
      <c r="A174" t="s">
        <v>300</v>
      </c>
      <c r="B174" t="str">
        <f t="shared" si="2"/>
        <v>BANCO DE CHILE/HÉCTOR HUGO MIRANDA MACHUCA</v>
      </c>
      <c r="C174" s="4" t="s">
        <v>422</v>
      </c>
      <c r="D174" s="6" t="s">
        <v>518</v>
      </c>
      <c r="E174" s="1" t="s">
        <v>94</v>
      </c>
      <c r="F174">
        <v>142526910</v>
      </c>
      <c r="G174" s="8">
        <v>45510</v>
      </c>
    </row>
    <row r="175" spans="1:7" x14ac:dyDescent="0.2">
      <c r="A175" t="s">
        <v>301</v>
      </c>
      <c r="B175" t="str">
        <f t="shared" si="2"/>
        <v>BANCO DE CHILE/HÉCTOR HUGO MIRANDA MACHUCA</v>
      </c>
      <c r="C175" s="4" t="s">
        <v>404</v>
      </c>
      <c r="D175" s="6" t="s">
        <v>518</v>
      </c>
      <c r="E175" s="1" t="s">
        <v>94</v>
      </c>
      <c r="F175">
        <v>57238477</v>
      </c>
      <c r="G175" s="8">
        <v>45177</v>
      </c>
    </row>
    <row r="176" spans="1:7" x14ac:dyDescent="0.2">
      <c r="A176" t="s">
        <v>302</v>
      </c>
      <c r="B176" t="str">
        <f t="shared" si="2"/>
        <v>BANCO DE CHILE/HÉCTOR HUGO MIRANDA MACHUCA</v>
      </c>
      <c r="C176" s="4" t="s">
        <v>404</v>
      </c>
      <c r="D176" s="6" t="s">
        <v>518</v>
      </c>
      <c r="E176" s="1" t="s">
        <v>94</v>
      </c>
      <c r="F176">
        <v>49736125</v>
      </c>
      <c r="G176" s="8">
        <v>45147</v>
      </c>
    </row>
    <row r="177" spans="1:7" x14ac:dyDescent="0.2">
      <c r="A177" t="s">
        <v>303</v>
      </c>
      <c r="B177" t="str">
        <f t="shared" si="2"/>
        <v>BANCO DE CHILE/HÉCTOR HERNÁN CEPEDA RETAMALES</v>
      </c>
      <c r="C177" s="3" t="s">
        <v>398</v>
      </c>
      <c r="D177" s="6" t="s">
        <v>519</v>
      </c>
      <c r="E177" s="1" t="s">
        <v>95</v>
      </c>
      <c r="F177">
        <v>95555273</v>
      </c>
      <c r="G177" s="8">
        <v>44896</v>
      </c>
    </row>
    <row r="178" spans="1:7" x14ac:dyDescent="0.2">
      <c r="A178" t="s">
        <v>304</v>
      </c>
      <c r="B178" t="str">
        <f t="shared" si="2"/>
        <v>BANCO DE CHILE/HÉCTOR HERNÁN CEPEDA RETAMALES</v>
      </c>
      <c r="C178" s="3" t="s">
        <v>411</v>
      </c>
      <c r="D178" s="6" t="s">
        <v>519</v>
      </c>
      <c r="E178" s="1" t="s">
        <v>95</v>
      </c>
      <c r="F178">
        <v>18301408</v>
      </c>
      <c r="G178" s="8">
        <v>44909</v>
      </c>
    </row>
    <row r="179" spans="1:7" x14ac:dyDescent="0.2">
      <c r="A179" t="s">
        <v>305</v>
      </c>
      <c r="B179" t="str">
        <f t="shared" si="2"/>
        <v>BANCO DE CHILE/GUILLERMO VALDÉS CHAIGNEAU</v>
      </c>
      <c r="C179" s="3" t="s">
        <v>388</v>
      </c>
      <c r="D179" s="6" t="s">
        <v>520</v>
      </c>
      <c r="E179" s="1" t="s">
        <v>96</v>
      </c>
      <c r="F179">
        <v>145000000</v>
      </c>
      <c r="G179" s="8">
        <v>45702</v>
      </c>
    </row>
    <row r="180" spans="1:7" x14ac:dyDescent="0.2">
      <c r="A180" t="s">
        <v>306</v>
      </c>
      <c r="B180" t="str">
        <f t="shared" si="2"/>
        <v>BANCO DE CHILE/GUILLERMO IGNACIO DÍAZ JARA</v>
      </c>
      <c r="C180" s="4" t="s">
        <v>426</v>
      </c>
      <c r="D180" s="6" t="s">
        <v>521</v>
      </c>
      <c r="E180" s="1" t="s">
        <v>97</v>
      </c>
      <c r="F180">
        <v>328776451</v>
      </c>
      <c r="G180" s="8">
        <v>45827</v>
      </c>
    </row>
    <row r="181" spans="1:7" x14ac:dyDescent="0.2">
      <c r="A181" t="s">
        <v>307</v>
      </c>
      <c r="B181" t="str">
        <f t="shared" si="2"/>
        <v>BANCO DE CHILE/GUILLERMO IGNACIO DÍAZ JARA</v>
      </c>
      <c r="C181" s="3" t="s">
        <v>413</v>
      </c>
      <c r="D181" s="6" t="s">
        <v>521</v>
      </c>
      <c r="E181" s="1" t="s">
        <v>97</v>
      </c>
      <c r="F181">
        <v>2555360</v>
      </c>
      <c r="G181" s="8">
        <v>45546</v>
      </c>
    </row>
    <row r="182" spans="1:7" x14ac:dyDescent="0.2">
      <c r="A182" t="s">
        <v>308</v>
      </c>
      <c r="B182" t="str">
        <f t="shared" si="2"/>
        <v>BANCO DE CHILE/GUILLERMO IGNACIO DÍAZ JARA</v>
      </c>
      <c r="C182" s="3" t="s">
        <v>413</v>
      </c>
      <c r="D182" s="6" t="s">
        <v>521</v>
      </c>
      <c r="E182" s="1" t="s">
        <v>97</v>
      </c>
      <c r="F182">
        <v>53859734</v>
      </c>
      <c r="G182" s="8">
        <v>45496</v>
      </c>
    </row>
    <row r="183" spans="1:7" x14ac:dyDescent="0.2">
      <c r="A183" t="s">
        <v>309</v>
      </c>
      <c r="B183" t="str">
        <f t="shared" si="2"/>
        <v>BANCO DE CHILE/GUILLERMO IGNACIO DÍAZ JARA</v>
      </c>
      <c r="C183" s="4" t="s">
        <v>414</v>
      </c>
      <c r="D183" s="6" t="s">
        <v>521</v>
      </c>
      <c r="E183" s="1" t="s">
        <v>97</v>
      </c>
      <c r="F183">
        <v>53859734</v>
      </c>
      <c r="G183" s="8">
        <v>45616</v>
      </c>
    </row>
    <row r="184" spans="1:7" x14ac:dyDescent="0.2">
      <c r="A184" t="s">
        <v>310</v>
      </c>
      <c r="B184" t="str">
        <f t="shared" si="2"/>
        <v>BANCO DE CHILE/GRUPO PLUSVIDA SPA</v>
      </c>
      <c r="C184" s="3" t="s">
        <v>388</v>
      </c>
      <c r="D184" s="6" t="s">
        <v>522</v>
      </c>
      <c r="E184" s="1" t="s">
        <v>98</v>
      </c>
      <c r="F184">
        <v>18647140</v>
      </c>
      <c r="G184" s="8">
        <v>45764</v>
      </c>
    </row>
    <row r="185" spans="1:7" x14ac:dyDescent="0.2">
      <c r="A185" t="s">
        <v>311</v>
      </c>
      <c r="B185" t="str">
        <f t="shared" si="2"/>
        <v>BANCO DE CHILE/GRUPO PLUSVIDA SPA</v>
      </c>
      <c r="C185" s="3" t="s">
        <v>388</v>
      </c>
      <c r="D185" s="6" t="s">
        <v>522</v>
      </c>
      <c r="E185" s="1" t="s">
        <v>98</v>
      </c>
      <c r="F185">
        <v>7142624</v>
      </c>
      <c r="G185" s="8">
        <v>45461</v>
      </c>
    </row>
    <row r="186" spans="1:7" x14ac:dyDescent="0.2">
      <c r="A186" t="s">
        <v>312</v>
      </c>
      <c r="B186" t="str">
        <f t="shared" si="2"/>
        <v>BANCO DE CHILE/GONZALO ZAPATA ROSSO</v>
      </c>
      <c r="C186" s="3" t="s">
        <v>416</v>
      </c>
      <c r="D186" s="6" t="s">
        <v>523</v>
      </c>
      <c r="E186" s="1" t="s">
        <v>99</v>
      </c>
      <c r="F186">
        <v>78851568</v>
      </c>
      <c r="G186" s="8">
        <v>45163</v>
      </c>
    </row>
    <row r="187" spans="1:7" x14ac:dyDescent="0.2">
      <c r="A187" t="s">
        <v>313</v>
      </c>
      <c r="B187" t="str">
        <f t="shared" si="2"/>
        <v>BANCO DE CHILE/GONZALO ZAPATA ROSSO</v>
      </c>
      <c r="C187" s="3" t="s">
        <v>395</v>
      </c>
      <c r="D187" s="6" t="s">
        <v>523</v>
      </c>
      <c r="E187" s="1" t="s">
        <v>99</v>
      </c>
      <c r="F187">
        <v>49654389</v>
      </c>
      <c r="G187" s="8">
        <v>45131</v>
      </c>
    </row>
    <row r="188" spans="1:7" x14ac:dyDescent="0.2">
      <c r="A188" t="s">
        <v>314</v>
      </c>
      <c r="B188" t="str">
        <f t="shared" si="2"/>
        <v>BANCO DE CHILE/GONZALO ANDRÉS CAMPOS ARÉVALO</v>
      </c>
      <c r="C188" s="3" t="s">
        <v>425</v>
      </c>
      <c r="D188" s="6" t="s">
        <v>524</v>
      </c>
      <c r="E188" s="1" t="s">
        <v>100</v>
      </c>
      <c r="F188">
        <v>4049848</v>
      </c>
      <c r="G188" s="8">
        <v>45673</v>
      </c>
    </row>
    <row r="189" spans="1:7" x14ac:dyDescent="0.2">
      <c r="A189" t="s">
        <v>315</v>
      </c>
      <c r="B189" t="str">
        <f t="shared" si="2"/>
        <v>BANCO DE CHILE/GONZALO ANDRÉS CAMPOS ARÉVALO</v>
      </c>
      <c r="C189" s="4" t="s">
        <v>425</v>
      </c>
      <c r="D189" s="6" t="s">
        <v>524</v>
      </c>
      <c r="E189" s="1" t="s">
        <v>100</v>
      </c>
      <c r="F189">
        <v>3220000</v>
      </c>
      <c r="G189" s="8">
        <v>45646</v>
      </c>
    </row>
    <row r="190" spans="1:7" x14ac:dyDescent="0.2">
      <c r="A190" t="s">
        <v>163</v>
      </c>
      <c r="B190" t="str">
        <f t="shared" si="2"/>
        <v>BANCO DE CHILE/GÉNESIS VERÓNICA MORALES IBARRA</v>
      </c>
      <c r="C190" s="3" t="s">
        <v>399</v>
      </c>
      <c r="D190" s="6" t="s">
        <v>525</v>
      </c>
      <c r="E190" s="1" t="s">
        <v>101</v>
      </c>
      <c r="F190">
        <v>44267627</v>
      </c>
      <c r="G190" s="8">
        <v>45926</v>
      </c>
    </row>
    <row r="191" spans="1:7" x14ac:dyDescent="0.2">
      <c r="A191" t="s">
        <v>316</v>
      </c>
      <c r="B191" t="str">
        <f t="shared" si="2"/>
        <v>BANCO DE CHILE/GÉNESIS VERÓNICA MORALES IBARRA</v>
      </c>
      <c r="C191" s="3" t="s">
        <v>416</v>
      </c>
      <c r="D191" s="6" t="s">
        <v>525</v>
      </c>
      <c r="E191" s="1" t="s">
        <v>101</v>
      </c>
      <c r="F191">
        <v>13225634</v>
      </c>
      <c r="G191" s="8">
        <v>45842</v>
      </c>
    </row>
    <row r="192" spans="1:7" x14ac:dyDescent="0.2">
      <c r="A192" t="s">
        <v>317</v>
      </c>
      <c r="B192" t="str">
        <f t="shared" si="2"/>
        <v>BANCO DE CHILE/GÉNESIS VERÓNICA MORALES IBARRA</v>
      </c>
      <c r="C192" s="3" t="s">
        <v>416</v>
      </c>
      <c r="D192" s="6" t="s">
        <v>525</v>
      </c>
      <c r="E192" s="1" t="s">
        <v>101</v>
      </c>
      <c r="F192">
        <v>3055799</v>
      </c>
      <c r="G192" s="8">
        <v>45639</v>
      </c>
    </row>
    <row r="193" spans="1:7" x14ac:dyDescent="0.2">
      <c r="A193" t="s">
        <v>318</v>
      </c>
      <c r="B193" t="str">
        <f t="shared" si="2"/>
        <v>BANCO DE CHILE/FRANCISCO HERNÁN ABELLO SÁEZ</v>
      </c>
      <c r="C193" s="3" t="s">
        <v>427</v>
      </c>
      <c r="D193" s="6" t="s">
        <v>526</v>
      </c>
      <c r="E193" s="1" t="s">
        <v>102</v>
      </c>
      <c r="F193">
        <v>165421164</v>
      </c>
      <c r="G193" s="8">
        <v>45587</v>
      </c>
    </row>
    <row r="194" spans="1:7" x14ac:dyDescent="0.2">
      <c r="A194" t="s">
        <v>319</v>
      </c>
      <c r="B194" t="str">
        <f t="shared" si="2"/>
        <v>BANCO DE CHILE/FRANCISCO HERNÁN ABELLO SÁEZ</v>
      </c>
      <c r="C194" s="3" t="s">
        <v>427</v>
      </c>
      <c r="D194" s="6" t="s">
        <v>526</v>
      </c>
      <c r="E194" s="1" t="s">
        <v>102</v>
      </c>
      <c r="F194">
        <v>11659101</v>
      </c>
      <c r="G194" s="8">
        <v>45764</v>
      </c>
    </row>
    <row r="195" spans="1:7" x14ac:dyDescent="0.2">
      <c r="A195" t="s">
        <v>320</v>
      </c>
      <c r="B195" t="str">
        <f t="shared" ref="B195:B258" si="3">"BANCO DE CHILE"&amp;"/"&amp;E195</f>
        <v>BANCO DE CHILE/FELIPE IVÁN SANDOVAL PARRA</v>
      </c>
      <c r="C195" s="4" t="s">
        <v>389</v>
      </c>
      <c r="D195" s="6" t="s">
        <v>527</v>
      </c>
      <c r="E195" s="1" t="s">
        <v>103</v>
      </c>
      <c r="F195">
        <v>57135736</v>
      </c>
      <c r="G195" s="8">
        <v>44767</v>
      </c>
    </row>
    <row r="196" spans="1:7" x14ac:dyDescent="0.2">
      <c r="A196" t="s">
        <v>321</v>
      </c>
      <c r="B196" t="str">
        <f t="shared" si="3"/>
        <v>BANCO DE CHILE/FELIPE IVÁN SANDOVAL PARRA</v>
      </c>
      <c r="C196" s="3" t="s">
        <v>422</v>
      </c>
      <c r="D196" s="6" t="s">
        <v>527</v>
      </c>
      <c r="E196" s="1" t="s">
        <v>103</v>
      </c>
      <c r="F196">
        <v>3690846</v>
      </c>
      <c r="G196" s="8">
        <v>44433</v>
      </c>
    </row>
    <row r="197" spans="1:7" x14ac:dyDescent="0.2">
      <c r="A197" t="s">
        <v>322</v>
      </c>
      <c r="B197" t="str">
        <f t="shared" si="3"/>
        <v>BANCO DE CHILE/ESTEBAN BELARMINO LIZAMA ARANCIBIA</v>
      </c>
      <c r="C197" s="3" t="s">
        <v>395</v>
      </c>
      <c r="D197" s="6" t="s">
        <v>528</v>
      </c>
      <c r="E197" s="1" t="s">
        <v>104</v>
      </c>
      <c r="F197">
        <v>165721273</v>
      </c>
      <c r="G197" s="8">
        <v>44624</v>
      </c>
    </row>
    <row r="198" spans="1:7" x14ac:dyDescent="0.2">
      <c r="A198" t="s">
        <v>323</v>
      </c>
      <c r="B198" t="str">
        <f t="shared" si="3"/>
        <v>BANCO DE CHILE/ESTEBAN BELARMINO LIZAMA ARANCIBIA</v>
      </c>
      <c r="C198" s="3" t="s">
        <v>391</v>
      </c>
      <c r="D198" s="6" t="s">
        <v>528</v>
      </c>
      <c r="E198" s="1" t="s">
        <v>104</v>
      </c>
      <c r="F198">
        <v>2343260</v>
      </c>
      <c r="G198" s="8">
        <v>45443</v>
      </c>
    </row>
    <row r="199" spans="1:7" x14ac:dyDescent="0.2">
      <c r="A199" t="s">
        <v>324</v>
      </c>
      <c r="B199" t="str">
        <f t="shared" si="3"/>
        <v>BANCO DE CHILE/ENRIQUE ALFONSO MIRANDA ALBORNOZ</v>
      </c>
      <c r="C199" s="4" t="s">
        <v>409</v>
      </c>
      <c r="D199" s="6" t="s">
        <v>529</v>
      </c>
      <c r="E199" s="1" t="s">
        <v>105</v>
      </c>
      <c r="F199">
        <v>37222107</v>
      </c>
      <c r="G199" s="8">
        <v>44715</v>
      </c>
    </row>
    <row r="200" spans="1:7" x14ac:dyDescent="0.2">
      <c r="A200" t="s">
        <v>325</v>
      </c>
      <c r="B200" t="str">
        <f t="shared" si="3"/>
        <v>BANCO DE CHILE/ELECTRÓNICA, TRANSPORTES Y EVENTOS GTI LIMITADA</v>
      </c>
      <c r="C200" s="3" t="s">
        <v>388</v>
      </c>
      <c r="D200" s="6" t="s">
        <v>530</v>
      </c>
      <c r="E200" s="1" t="s">
        <v>106</v>
      </c>
      <c r="F200">
        <v>74737804</v>
      </c>
      <c r="G200" s="8">
        <v>45400</v>
      </c>
    </row>
    <row r="201" spans="1:7" x14ac:dyDescent="0.2">
      <c r="A201" t="s">
        <v>326</v>
      </c>
      <c r="B201" t="str">
        <f t="shared" si="3"/>
        <v>BANCO DE CHILE/ELECTRÓNICA, TRANSPORTES Y EVENTOS GTI LIMITADA</v>
      </c>
      <c r="C201" s="4" t="s">
        <v>395</v>
      </c>
      <c r="D201" s="6" t="s">
        <v>530</v>
      </c>
      <c r="E201" s="1" t="s">
        <v>106</v>
      </c>
      <c r="F201">
        <v>109988300</v>
      </c>
      <c r="G201" s="8">
        <v>45441</v>
      </c>
    </row>
    <row r="202" spans="1:7" x14ac:dyDescent="0.2">
      <c r="A202" t="s">
        <v>327</v>
      </c>
      <c r="B202" t="str">
        <f t="shared" si="3"/>
        <v>BANCO DE CHILE/EDUARDO VICENTE ARRIARÁN ANDRÉS</v>
      </c>
      <c r="C202" s="3" t="s">
        <v>391</v>
      </c>
      <c r="D202" s="6" t="s">
        <v>531</v>
      </c>
      <c r="E202" s="1" t="s">
        <v>107</v>
      </c>
      <c r="F202">
        <v>140391241</v>
      </c>
      <c r="G202" s="8">
        <v>45559</v>
      </c>
    </row>
    <row r="203" spans="1:7" x14ac:dyDescent="0.2">
      <c r="A203" t="s">
        <v>328</v>
      </c>
      <c r="B203" t="str">
        <f t="shared" si="3"/>
        <v>BANCO DE CHILE/EDUARDO VICENTE ARRIARÁN ANDRÉS</v>
      </c>
      <c r="C203" s="3" t="s">
        <v>403</v>
      </c>
      <c r="D203" s="6" t="s">
        <v>531</v>
      </c>
      <c r="E203" s="1" t="s">
        <v>107</v>
      </c>
      <c r="F203">
        <v>18059277</v>
      </c>
      <c r="G203" s="8">
        <v>45531</v>
      </c>
    </row>
    <row r="204" spans="1:7" x14ac:dyDescent="0.2">
      <c r="A204" t="s">
        <v>329</v>
      </c>
      <c r="B204" t="str">
        <f t="shared" si="3"/>
        <v>BANCO DE CHILE/EDUARDO VICENTE ARRIARÁN ANDRÉS</v>
      </c>
      <c r="C204" s="4" t="s">
        <v>403</v>
      </c>
      <c r="D204" s="6" t="s">
        <v>531</v>
      </c>
      <c r="E204" s="1" t="s">
        <v>107</v>
      </c>
      <c r="F204">
        <v>6034979</v>
      </c>
      <c r="G204" s="8">
        <v>45517</v>
      </c>
    </row>
    <row r="205" spans="1:7" x14ac:dyDescent="0.2">
      <c r="A205" t="s">
        <v>330</v>
      </c>
      <c r="B205" t="str">
        <f t="shared" si="3"/>
        <v>BANCO DE CHILE/EDUARDO VICENTE ARRIARÁN ANDRÉS</v>
      </c>
      <c r="C205" s="3" t="s">
        <v>422</v>
      </c>
      <c r="D205" s="6" t="s">
        <v>531</v>
      </c>
      <c r="E205" s="1" t="s">
        <v>107</v>
      </c>
      <c r="F205">
        <v>164485497</v>
      </c>
      <c r="G205" s="8">
        <v>45888</v>
      </c>
    </row>
    <row r="206" spans="1:7" x14ac:dyDescent="0.2">
      <c r="A206" t="s">
        <v>331</v>
      </c>
      <c r="B206" t="str">
        <f t="shared" si="3"/>
        <v>BANCO DE CHILE/EDUARDO SAA SERVICIOS MÉDICOS Y COMPAÑÍA LIMITADA</v>
      </c>
      <c r="C206" s="3" t="s">
        <v>392</v>
      </c>
      <c r="D206" s="6" t="s">
        <v>532</v>
      </c>
      <c r="E206" s="1" t="s">
        <v>108</v>
      </c>
      <c r="F206">
        <v>40067274</v>
      </c>
      <c r="G206" s="8">
        <v>45148</v>
      </c>
    </row>
    <row r="207" spans="1:7" x14ac:dyDescent="0.2">
      <c r="A207" t="s">
        <v>332</v>
      </c>
      <c r="B207" t="str">
        <f t="shared" si="3"/>
        <v>BANCO DE CHILE/DERMOTEC COMERCIALIZADORA DE PRODUCTOS MÉDICOS ESTÉTICOS SPA</v>
      </c>
      <c r="C207" s="4" t="s">
        <v>414</v>
      </c>
      <c r="D207" s="6" t="s">
        <v>533</v>
      </c>
      <c r="E207" s="1" t="s">
        <v>109</v>
      </c>
      <c r="F207">
        <v>47154375</v>
      </c>
      <c r="G207" s="8">
        <v>45581</v>
      </c>
    </row>
    <row r="208" spans="1:7" x14ac:dyDescent="0.2">
      <c r="A208" t="s">
        <v>333</v>
      </c>
      <c r="B208" t="str">
        <f t="shared" si="3"/>
        <v>BANCO DE CHILE/DAVID AURELIO ORELLANA CASTRO</v>
      </c>
      <c r="C208" s="3" t="s">
        <v>389</v>
      </c>
      <c r="D208" s="6" t="s">
        <v>534</v>
      </c>
      <c r="E208" s="1" t="s">
        <v>110</v>
      </c>
      <c r="F208">
        <v>348001193</v>
      </c>
      <c r="G208" s="8">
        <v>45510</v>
      </c>
    </row>
    <row r="209" spans="1:7" x14ac:dyDescent="0.2">
      <c r="A209" t="s">
        <v>334</v>
      </c>
      <c r="B209" t="str">
        <f t="shared" si="3"/>
        <v>BANCO DE CHILE/DAVID AURELIO ORELLANA CASTRO</v>
      </c>
      <c r="C209" s="4" t="s">
        <v>388</v>
      </c>
      <c r="D209" s="6" t="s">
        <v>534</v>
      </c>
      <c r="E209" s="1" t="s">
        <v>110</v>
      </c>
      <c r="F209">
        <v>99299925</v>
      </c>
      <c r="G209" s="8">
        <v>45240</v>
      </c>
    </row>
    <row r="210" spans="1:7" x14ac:dyDescent="0.2">
      <c r="A210" t="s">
        <v>335</v>
      </c>
      <c r="B210" t="str">
        <f t="shared" si="3"/>
        <v>BANCO DE CHILE/DANIEL MILLAMÁN CARIMÁN</v>
      </c>
      <c r="C210" s="3" t="s">
        <v>410</v>
      </c>
      <c r="D210" s="6" t="s">
        <v>535</v>
      </c>
      <c r="E210" s="1" t="s">
        <v>111</v>
      </c>
      <c r="F210">
        <v>4862965</v>
      </c>
      <c r="G210" s="8">
        <v>45624</v>
      </c>
    </row>
    <row r="211" spans="1:7" x14ac:dyDescent="0.2">
      <c r="A211" t="s">
        <v>163</v>
      </c>
      <c r="B211" t="str">
        <f t="shared" si="3"/>
        <v>BANCO DE CHILE/CRISTIÁN MIGUEL CAROCA FERRADA</v>
      </c>
      <c r="C211" s="3" t="s">
        <v>399</v>
      </c>
      <c r="D211" s="6" t="s">
        <v>536</v>
      </c>
      <c r="E211" s="1" t="s">
        <v>112</v>
      </c>
      <c r="F211">
        <v>2928834</v>
      </c>
      <c r="G211" s="8">
        <v>45898</v>
      </c>
    </row>
    <row r="212" spans="1:7" x14ac:dyDescent="0.2">
      <c r="A212" t="s">
        <v>336</v>
      </c>
      <c r="B212" t="str">
        <f t="shared" si="3"/>
        <v>BANCO DE CHILE/CRISTIÁN MIGUEL CAROCA FERRADA</v>
      </c>
      <c r="C212" s="3" t="s">
        <v>400</v>
      </c>
      <c r="D212" s="6" t="s">
        <v>536</v>
      </c>
      <c r="E212" s="1" t="s">
        <v>112</v>
      </c>
      <c r="F212">
        <v>9862000</v>
      </c>
      <c r="G212" s="8">
        <v>45348</v>
      </c>
    </row>
    <row r="213" spans="1:7" x14ac:dyDescent="0.2">
      <c r="A213" t="s">
        <v>337</v>
      </c>
      <c r="B213" t="str">
        <f t="shared" si="3"/>
        <v>BANCO DE CHILE/CRISTIAN GABRIEL BARBERIS URRUTIA</v>
      </c>
      <c r="C213" s="4" t="s">
        <v>408</v>
      </c>
      <c r="D213" s="6" t="s">
        <v>537</v>
      </c>
      <c r="E213" s="1" t="s">
        <v>113</v>
      </c>
      <c r="F213">
        <v>36818647</v>
      </c>
      <c r="G213" s="8">
        <v>45063</v>
      </c>
    </row>
    <row r="214" spans="1:7" x14ac:dyDescent="0.2">
      <c r="A214" t="s">
        <v>338</v>
      </c>
      <c r="B214" t="str">
        <f t="shared" si="3"/>
        <v>BANCO DE CHILE/COMERCIALIZADORA SALGADO MORA SPA</v>
      </c>
      <c r="C214" s="3" t="s">
        <v>412</v>
      </c>
      <c r="D214" s="6" t="s">
        <v>538</v>
      </c>
      <c r="E214" s="1" t="s">
        <v>114</v>
      </c>
      <c r="F214">
        <v>142067533</v>
      </c>
      <c r="G214" s="8">
        <v>45870</v>
      </c>
    </row>
    <row r="215" spans="1:7" x14ac:dyDescent="0.2">
      <c r="A215" t="s">
        <v>339</v>
      </c>
      <c r="B215" t="str">
        <f t="shared" si="3"/>
        <v>BANCO DE CHILE/COMERCIALIZADORA SALGADO MORA SPA</v>
      </c>
      <c r="C215" s="4" t="s">
        <v>401</v>
      </c>
      <c r="D215" s="6" t="s">
        <v>538</v>
      </c>
      <c r="E215" s="1" t="s">
        <v>114</v>
      </c>
      <c r="F215">
        <v>26054238</v>
      </c>
      <c r="G215" s="8">
        <v>45719</v>
      </c>
    </row>
    <row r="216" spans="1:7" x14ac:dyDescent="0.2">
      <c r="A216" t="s">
        <v>340</v>
      </c>
      <c r="B216" t="str">
        <f t="shared" si="3"/>
        <v>BANCO DE CHILE/COMERCIALIZADORA NEUMACLICK SPA</v>
      </c>
      <c r="C216" s="3" t="s">
        <v>389</v>
      </c>
      <c r="D216" s="6" t="s">
        <v>539</v>
      </c>
      <c r="E216" s="1" t="s">
        <v>115</v>
      </c>
      <c r="F216">
        <v>154862013</v>
      </c>
      <c r="G216" s="8">
        <v>45677</v>
      </c>
    </row>
    <row r="217" spans="1:7" x14ac:dyDescent="0.2">
      <c r="A217" t="s">
        <v>341</v>
      </c>
      <c r="B217" t="str">
        <f t="shared" si="3"/>
        <v>BANCO DE CHILE/COMERCIALIZADORA NEUMACLICK SPA</v>
      </c>
      <c r="C217" s="3" t="s">
        <v>413</v>
      </c>
      <c r="D217" s="6" t="s">
        <v>539</v>
      </c>
      <c r="E217" s="1" t="s">
        <v>115</v>
      </c>
      <c r="F217">
        <v>84347055</v>
      </c>
      <c r="G217" s="8">
        <v>45582</v>
      </c>
    </row>
    <row r="218" spans="1:7" x14ac:dyDescent="0.2">
      <c r="A218" t="s">
        <v>342</v>
      </c>
      <c r="B218" t="str">
        <f t="shared" si="3"/>
        <v>BANCO DE CHILE/COMERCIALIZADORA NEUMACLICK SPA</v>
      </c>
      <c r="C218" s="3" t="s">
        <v>410</v>
      </c>
      <c r="D218" s="6" t="s">
        <v>539</v>
      </c>
      <c r="E218" s="1" t="s">
        <v>115</v>
      </c>
      <c r="F218">
        <v>1335000</v>
      </c>
      <c r="G218" s="8">
        <v>45691</v>
      </c>
    </row>
    <row r="219" spans="1:7" x14ac:dyDescent="0.2">
      <c r="A219" t="s">
        <v>343</v>
      </c>
      <c r="B219" t="str">
        <f t="shared" si="3"/>
        <v>BANCO DE CHILE/COMERCIALIZADORA E IMPORTADORA ECOIN SPA</v>
      </c>
      <c r="C219" s="4" t="s">
        <v>428</v>
      </c>
      <c r="D219" s="6" t="s">
        <v>540</v>
      </c>
      <c r="E219" s="1" t="s">
        <v>116</v>
      </c>
      <c r="F219">
        <v>71953381</v>
      </c>
      <c r="G219" s="8">
        <v>45625</v>
      </c>
    </row>
    <row r="220" spans="1:7" x14ac:dyDescent="0.2">
      <c r="A220" t="s">
        <v>344</v>
      </c>
      <c r="B220" t="str">
        <f t="shared" si="3"/>
        <v>BANCO DE CHILE/COMERCIALIZADORA E IMPORTADORA ECOIN SPA</v>
      </c>
      <c r="C220" s="4" t="s">
        <v>394</v>
      </c>
      <c r="D220" s="6" t="s">
        <v>540</v>
      </c>
      <c r="E220" s="1" t="s">
        <v>116</v>
      </c>
      <c r="F220">
        <v>1812751</v>
      </c>
      <c r="G220" s="8">
        <v>45623</v>
      </c>
    </row>
    <row r="221" spans="1:7" x14ac:dyDescent="0.2">
      <c r="A221" t="s">
        <v>345</v>
      </c>
      <c r="B221" t="str">
        <f t="shared" si="3"/>
        <v>BANCO DE CHILE/COMERCIALIZADORA E IMPORTADORA ECOIN SPA</v>
      </c>
      <c r="C221" s="4" t="s">
        <v>394</v>
      </c>
      <c r="D221" s="6" t="s">
        <v>540</v>
      </c>
      <c r="E221" s="1" t="s">
        <v>116</v>
      </c>
      <c r="F221">
        <v>18181478</v>
      </c>
      <c r="G221" s="8">
        <v>45513</v>
      </c>
    </row>
    <row r="222" spans="1:7" x14ac:dyDescent="0.2">
      <c r="A222" t="s">
        <v>346</v>
      </c>
      <c r="B222" t="str">
        <f t="shared" si="3"/>
        <v>BANCO DE CHILE/COMERCIALIZADORA E IMPORTADORA ECOIN SPA</v>
      </c>
      <c r="C222" s="3" t="s">
        <v>394</v>
      </c>
      <c r="D222" s="6" t="s">
        <v>540</v>
      </c>
      <c r="E222" s="1" t="s">
        <v>116</v>
      </c>
      <c r="F222">
        <v>4246413</v>
      </c>
      <c r="G222" s="8">
        <v>45672</v>
      </c>
    </row>
    <row r="223" spans="1:7" x14ac:dyDescent="0.2">
      <c r="A223" t="s">
        <v>347</v>
      </c>
      <c r="B223" t="str">
        <f t="shared" si="3"/>
        <v>BANCO DE CHILE/COMERCIALIZADORA E IMPORTADORA ECOIN SPA</v>
      </c>
      <c r="C223" s="3" t="s">
        <v>422</v>
      </c>
      <c r="D223" s="6" t="s">
        <v>540</v>
      </c>
      <c r="E223" s="1" t="s">
        <v>116</v>
      </c>
      <c r="F223">
        <v>81246620</v>
      </c>
      <c r="G223" s="8">
        <v>45546</v>
      </c>
    </row>
    <row r="224" spans="1:7" x14ac:dyDescent="0.2">
      <c r="A224" t="s">
        <v>348</v>
      </c>
      <c r="B224" t="str">
        <f t="shared" si="3"/>
        <v>BANCO DE CHILE/COMERCIALIZADORA ARDAGE SPA</v>
      </c>
      <c r="C224" s="3" t="s">
        <v>413</v>
      </c>
      <c r="D224" s="6" t="s">
        <v>541</v>
      </c>
      <c r="E224" s="1" t="s">
        <v>117</v>
      </c>
      <c r="F224">
        <v>17083857</v>
      </c>
      <c r="G224" s="8">
        <v>45568</v>
      </c>
    </row>
    <row r="225" spans="1:7" x14ac:dyDescent="0.2">
      <c r="A225" t="s">
        <v>349</v>
      </c>
      <c r="B225" t="str">
        <f t="shared" si="3"/>
        <v>BANCO DE CHILE/COMERCIAL MARIA ISABEL ARANDA E.I.R.L.</v>
      </c>
      <c r="C225" s="3" t="s">
        <v>388</v>
      </c>
      <c r="D225" s="6" t="s">
        <v>542</v>
      </c>
      <c r="E225" s="1" t="s">
        <v>118</v>
      </c>
      <c r="F225">
        <v>13000000</v>
      </c>
      <c r="G225" s="8">
        <v>45764</v>
      </c>
    </row>
    <row r="226" spans="1:7" x14ac:dyDescent="0.2">
      <c r="A226" t="s">
        <v>350</v>
      </c>
      <c r="B226" t="str">
        <f t="shared" si="3"/>
        <v>BANCO DE CHILE/COMERCIAL LOS NENES JR SPA</v>
      </c>
      <c r="C226" s="3" t="s">
        <v>423</v>
      </c>
      <c r="D226" s="6" t="s">
        <v>543</v>
      </c>
      <c r="E226" s="1" t="s">
        <v>119</v>
      </c>
      <c r="F226">
        <v>78685126</v>
      </c>
      <c r="G226" s="8">
        <v>45559</v>
      </c>
    </row>
    <row r="227" spans="1:7" x14ac:dyDescent="0.2">
      <c r="A227" t="s">
        <v>351</v>
      </c>
      <c r="B227" t="str">
        <f t="shared" si="3"/>
        <v>BANCO DE CHILE/COMERCIAL LOS NENES JR SPA</v>
      </c>
      <c r="C227" s="4" t="s">
        <v>391</v>
      </c>
      <c r="D227" s="6" t="s">
        <v>543</v>
      </c>
      <c r="E227" s="1" t="s">
        <v>119</v>
      </c>
      <c r="F227">
        <v>86262160</v>
      </c>
      <c r="G227" s="8">
        <v>45568</v>
      </c>
    </row>
    <row r="228" spans="1:7" x14ac:dyDescent="0.2">
      <c r="A228" t="s">
        <v>352</v>
      </c>
      <c r="B228" t="str">
        <f t="shared" si="3"/>
        <v>BANCO DE CHILE/CLAUDIO RIUTOR PAZ</v>
      </c>
      <c r="C228" s="3" t="s">
        <v>398</v>
      </c>
      <c r="D228" s="6" t="s">
        <v>544</v>
      </c>
      <c r="E228" s="1" t="s">
        <v>120</v>
      </c>
      <c r="F228">
        <v>78252870</v>
      </c>
      <c r="G228" s="8">
        <v>45560</v>
      </c>
    </row>
    <row r="229" spans="1:7" x14ac:dyDescent="0.2">
      <c r="A229" t="s">
        <v>353</v>
      </c>
      <c r="B229" t="str">
        <f t="shared" si="3"/>
        <v>BANCO DE CHILE/CLARIBEL MONTENEGRO ARIAS</v>
      </c>
      <c r="C229" s="4" t="s">
        <v>403</v>
      </c>
      <c r="D229" s="6" t="s">
        <v>545</v>
      </c>
      <c r="E229" s="1" t="s">
        <v>121</v>
      </c>
      <c r="F229">
        <v>311299112</v>
      </c>
      <c r="G229" s="8">
        <v>45322</v>
      </c>
    </row>
    <row r="230" spans="1:7" x14ac:dyDescent="0.2">
      <c r="A230" t="s">
        <v>354</v>
      </c>
      <c r="B230" t="str">
        <f t="shared" si="3"/>
        <v>BANCO DE CHILE/CLARIBEL MONTENEGRO ARIAS</v>
      </c>
      <c r="C230" s="3" t="s">
        <v>404</v>
      </c>
      <c r="D230" s="6" t="s">
        <v>545</v>
      </c>
      <c r="E230" s="1" t="s">
        <v>121</v>
      </c>
      <c r="F230">
        <v>44729486</v>
      </c>
      <c r="G230" s="8">
        <v>45482</v>
      </c>
    </row>
    <row r="231" spans="1:7" x14ac:dyDescent="0.2">
      <c r="A231" t="s">
        <v>355</v>
      </c>
      <c r="B231" t="str">
        <f t="shared" si="3"/>
        <v>BANCO DE CHILE/CHRISTIAN REINALDO BUSTOS VEGA</v>
      </c>
      <c r="C231" s="4" t="s">
        <v>400</v>
      </c>
      <c r="D231" s="6" t="s">
        <v>546</v>
      </c>
      <c r="E231" s="1" t="s">
        <v>122</v>
      </c>
      <c r="F231">
        <v>55387816</v>
      </c>
      <c r="G231" s="8">
        <v>45120</v>
      </c>
    </row>
    <row r="232" spans="1:7" x14ac:dyDescent="0.2">
      <c r="A232" t="s">
        <v>356</v>
      </c>
      <c r="B232" t="str">
        <f t="shared" si="3"/>
        <v>BANCO DE CHILE/CHRISTIAN REINALDO BUSTOS VEGA</v>
      </c>
      <c r="C232" s="4" t="s">
        <v>420</v>
      </c>
      <c r="D232" s="6" t="s">
        <v>546</v>
      </c>
      <c r="E232" s="1" t="s">
        <v>122</v>
      </c>
      <c r="F232">
        <v>9352411</v>
      </c>
      <c r="G232" s="8">
        <v>45219</v>
      </c>
    </row>
    <row r="233" spans="1:7" x14ac:dyDescent="0.2">
      <c r="A233" t="s">
        <v>357</v>
      </c>
      <c r="B233" t="str">
        <f t="shared" si="3"/>
        <v>BANCO DE CHILE/CHILETECHOS SPA</v>
      </c>
      <c r="C233" s="3" t="s">
        <v>420</v>
      </c>
      <c r="D233" s="6" t="s">
        <v>547</v>
      </c>
      <c r="E233" s="1" t="s">
        <v>123</v>
      </c>
      <c r="F233">
        <v>28956575</v>
      </c>
      <c r="G233" s="8">
        <v>45590</v>
      </c>
    </row>
    <row r="234" spans="1:7" x14ac:dyDescent="0.2">
      <c r="A234" t="s">
        <v>358</v>
      </c>
      <c r="B234" t="str">
        <f t="shared" si="3"/>
        <v>BANCO DE CHILE/CHILEREPUESTOS SPA</v>
      </c>
      <c r="C234" s="3" t="s">
        <v>402</v>
      </c>
      <c r="D234" s="6" t="s">
        <v>548</v>
      </c>
      <c r="E234" s="1" t="s">
        <v>124</v>
      </c>
      <c r="F234">
        <v>12997428</v>
      </c>
      <c r="G234" s="8">
        <v>45490</v>
      </c>
    </row>
    <row r="235" spans="1:7" x14ac:dyDescent="0.2">
      <c r="A235" t="s">
        <v>163</v>
      </c>
      <c r="B235" t="str">
        <f t="shared" si="3"/>
        <v>BANCO DE CHILE/CAROLINA MIRANDA CHÁVEZ</v>
      </c>
      <c r="C235" s="4" t="s">
        <v>399</v>
      </c>
      <c r="D235" s="6" t="s">
        <v>549</v>
      </c>
      <c r="E235" s="1" t="s">
        <v>125</v>
      </c>
      <c r="F235">
        <v>73302444</v>
      </c>
      <c r="G235" s="8">
        <v>45911</v>
      </c>
    </row>
    <row r="236" spans="1:7" x14ac:dyDescent="0.2">
      <c r="A236" t="s">
        <v>359</v>
      </c>
      <c r="B236" t="str">
        <f t="shared" si="3"/>
        <v>BANCO DE CHILE/CAROLINA MIRANDA CHÁVEZ</v>
      </c>
      <c r="C236" s="3" t="s">
        <v>389</v>
      </c>
      <c r="D236" s="6" t="s">
        <v>549</v>
      </c>
      <c r="E236" s="1" t="s">
        <v>125</v>
      </c>
      <c r="F236">
        <v>17781129</v>
      </c>
      <c r="G236" s="8">
        <v>45764</v>
      </c>
    </row>
    <row r="237" spans="1:7" x14ac:dyDescent="0.2">
      <c r="A237" t="s">
        <v>360</v>
      </c>
      <c r="B237" t="str">
        <f t="shared" si="3"/>
        <v>BANCO DE CHILE/CARMEN LIDIA CASTILLO MOLINA</v>
      </c>
      <c r="C237" s="4" t="s">
        <v>404</v>
      </c>
      <c r="D237" s="6" t="s">
        <v>550</v>
      </c>
      <c r="E237" s="1" t="s">
        <v>126</v>
      </c>
      <c r="F237">
        <v>33562447</v>
      </c>
      <c r="G237" s="8">
        <v>45496</v>
      </c>
    </row>
    <row r="238" spans="1:7" x14ac:dyDescent="0.2">
      <c r="A238" t="s">
        <v>361</v>
      </c>
      <c r="B238" t="str">
        <f t="shared" si="3"/>
        <v>BANCO DE CHILE/CARLOS PATRICIO ESPINOZA CANDIA</v>
      </c>
      <c r="C238" s="3" t="s">
        <v>429</v>
      </c>
      <c r="D238" s="6" t="s">
        <v>551</v>
      </c>
      <c r="E238" s="1" t="s">
        <v>127</v>
      </c>
      <c r="F238">
        <v>165473303</v>
      </c>
      <c r="G238" s="8">
        <v>45523</v>
      </c>
    </row>
    <row r="239" spans="1:7" x14ac:dyDescent="0.2">
      <c r="A239" t="s">
        <v>362</v>
      </c>
      <c r="B239" t="str">
        <f t="shared" si="3"/>
        <v>BANCO DE CHILE/CARLOS PATRICIO ESPINOZA CANDIA</v>
      </c>
      <c r="C239" s="3" t="s">
        <v>410</v>
      </c>
      <c r="D239" s="6" t="s">
        <v>551</v>
      </c>
      <c r="E239" s="1" t="s">
        <v>127</v>
      </c>
      <c r="F239">
        <v>19170869</v>
      </c>
      <c r="G239" s="8">
        <v>45363</v>
      </c>
    </row>
    <row r="240" spans="1:7" x14ac:dyDescent="0.2">
      <c r="A240" t="s">
        <v>363</v>
      </c>
      <c r="B240" t="str">
        <f t="shared" si="3"/>
        <v>BANCO DE CHILE/CARLOS PATRICIO ESPINOZA CANDIA</v>
      </c>
      <c r="C240" s="3" t="s">
        <v>410</v>
      </c>
      <c r="D240" s="6" t="s">
        <v>551</v>
      </c>
      <c r="E240" s="1" t="s">
        <v>127</v>
      </c>
      <c r="F240">
        <v>3753132</v>
      </c>
      <c r="G240" s="8">
        <v>45406</v>
      </c>
    </row>
    <row r="241" spans="1:7" x14ac:dyDescent="0.2">
      <c r="A241" t="s">
        <v>364</v>
      </c>
      <c r="B241" t="str">
        <f t="shared" si="3"/>
        <v>BANCO DE CHILE/CARLOS PATRICIO ESPINOZA CANDIA</v>
      </c>
      <c r="C241" s="4" t="s">
        <v>410</v>
      </c>
      <c r="D241" s="6" t="s">
        <v>551</v>
      </c>
      <c r="E241" s="1" t="s">
        <v>127</v>
      </c>
      <c r="F241">
        <v>2000000</v>
      </c>
      <c r="G241" s="8">
        <v>45441</v>
      </c>
    </row>
    <row r="242" spans="1:7" x14ac:dyDescent="0.2">
      <c r="A242" t="s">
        <v>365</v>
      </c>
      <c r="B242" t="str">
        <f t="shared" si="3"/>
        <v>BANCO DE CHILE/CARLOS MARCELO RUIZ DELGADO</v>
      </c>
      <c r="C242" s="3" t="s">
        <v>408</v>
      </c>
      <c r="D242" s="7" t="s">
        <v>552</v>
      </c>
      <c r="E242" s="2" t="s">
        <v>128</v>
      </c>
      <c r="F242">
        <v>2156289</v>
      </c>
      <c r="G242" s="9">
        <v>45625</v>
      </c>
    </row>
    <row r="243" spans="1:7" x14ac:dyDescent="0.2">
      <c r="A243" t="s">
        <v>366</v>
      </c>
      <c r="B243" t="str">
        <f t="shared" si="3"/>
        <v>BANCO DE CHILE/CARLOS MARCELO RUIZ DELGADO</v>
      </c>
      <c r="C243" s="3" t="s">
        <v>409</v>
      </c>
      <c r="D243" s="7" t="s">
        <v>552</v>
      </c>
      <c r="E243" s="2" t="s">
        <v>128</v>
      </c>
      <c r="F243">
        <v>174049073</v>
      </c>
      <c r="G243" s="9">
        <v>45677</v>
      </c>
    </row>
    <row r="244" spans="1:7" x14ac:dyDescent="0.2">
      <c r="A244" t="s">
        <v>367</v>
      </c>
      <c r="B244" t="str">
        <f t="shared" si="3"/>
        <v>BANCO DE CHILE/CARLOS GREGORIO VOTH GONZÁLEZ</v>
      </c>
      <c r="C244" s="3" t="s">
        <v>428</v>
      </c>
      <c r="D244" s="7" t="s">
        <v>553</v>
      </c>
      <c r="E244" s="2" t="s">
        <v>129</v>
      </c>
      <c r="F244">
        <v>14441369</v>
      </c>
      <c r="G244" s="9">
        <v>45616</v>
      </c>
    </row>
    <row r="245" spans="1:7" x14ac:dyDescent="0.2">
      <c r="A245" t="s">
        <v>368</v>
      </c>
      <c r="B245" t="str">
        <f t="shared" si="3"/>
        <v>BANCO DE CHILE/CARLOS ALBERTO BAEZA GUAJARDO</v>
      </c>
      <c r="C245" s="3" t="s">
        <v>425</v>
      </c>
      <c r="D245" s="7" t="s">
        <v>554</v>
      </c>
      <c r="E245" s="2" t="s">
        <v>130</v>
      </c>
      <c r="F245">
        <v>11962489</v>
      </c>
      <c r="G245" s="9">
        <v>45888</v>
      </c>
    </row>
    <row r="246" spans="1:7" x14ac:dyDescent="0.2">
      <c r="A246" t="s">
        <v>369</v>
      </c>
      <c r="B246" t="str">
        <f t="shared" si="3"/>
        <v>BANCO DE CHILE/CARLOS ALBERTO BAEZA GUAJARDO</v>
      </c>
      <c r="C246" s="4" t="s">
        <v>422</v>
      </c>
      <c r="D246" s="7" t="s">
        <v>554</v>
      </c>
      <c r="E246" s="2" t="s">
        <v>130</v>
      </c>
      <c r="F246">
        <v>10098770</v>
      </c>
      <c r="G246" s="9">
        <v>45485</v>
      </c>
    </row>
    <row r="247" spans="1:7" x14ac:dyDescent="0.2">
      <c r="A247" t="s">
        <v>370</v>
      </c>
      <c r="B247" t="str">
        <f t="shared" si="3"/>
        <v>BANCO DE CHILE/CARLOS ALBERTO BAEZA GUAJARDO</v>
      </c>
      <c r="C247" s="3" t="s">
        <v>422</v>
      </c>
      <c r="D247" s="7" t="s">
        <v>554</v>
      </c>
      <c r="E247" s="2" t="s">
        <v>130</v>
      </c>
      <c r="F247">
        <v>1863719</v>
      </c>
      <c r="G247" s="9">
        <v>45441</v>
      </c>
    </row>
    <row r="248" spans="1:7" x14ac:dyDescent="0.2">
      <c r="A248" t="s">
        <v>371</v>
      </c>
      <c r="B248" t="str">
        <f t="shared" si="3"/>
        <v>BANCO DE CHILE/CANORO Y ABSOLUTO SPA</v>
      </c>
      <c r="C248" s="3" t="s">
        <v>415</v>
      </c>
      <c r="D248" s="7" t="s">
        <v>555</v>
      </c>
      <c r="E248" s="2" t="s">
        <v>131</v>
      </c>
      <c r="F248">
        <v>640801400</v>
      </c>
      <c r="G248" s="9">
        <v>45583</v>
      </c>
    </row>
    <row r="249" spans="1:7" x14ac:dyDescent="0.2">
      <c r="A249" t="s">
        <v>163</v>
      </c>
      <c r="B249" t="str">
        <f t="shared" si="3"/>
        <v>BANCO DE CHILE/BUTLER CORPORATION SPA</v>
      </c>
      <c r="C249" s="3" t="s">
        <v>399</v>
      </c>
      <c r="D249" s="7" t="s">
        <v>556</v>
      </c>
      <c r="E249" s="2" t="s">
        <v>132</v>
      </c>
      <c r="F249">
        <v>14938723</v>
      </c>
      <c r="G249" s="9">
        <v>45569</v>
      </c>
    </row>
    <row r="250" spans="1:7" x14ac:dyDescent="0.2">
      <c r="A250" t="s">
        <v>372</v>
      </c>
      <c r="B250" t="str">
        <f t="shared" si="3"/>
        <v>BANCO DE CHILE/BIZARRA SPA</v>
      </c>
      <c r="C250" s="3" t="s">
        <v>392</v>
      </c>
      <c r="D250" s="7" t="s">
        <v>557</v>
      </c>
      <c r="E250" s="2" t="s">
        <v>133</v>
      </c>
      <c r="F250">
        <v>29207119</v>
      </c>
      <c r="G250" s="9">
        <v>45490</v>
      </c>
    </row>
    <row r="251" spans="1:7" x14ac:dyDescent="0.2">
      <c r="A251" t="s">
        <v>373</v>
      </c>
      <c r="B251" t="str">
        <f t="shared" si="3"/>
        <v>BANCO DE CHILE/BILLORDO, PEÑA Y ZAVALA LIMITADA</v>
      </c>
      <c r="C251" s="3" t="s">
        <v>389</v>
      </c>
      <c r="D251" s="7" t="s">
        <v>558</v>
      </c>
      <c r="E251" s="2" t="s">
        <v>134</v>
      </c>
      <c r="F251">
        <v>70022049</v>
      </c>
      <c r="G251" s="9">
        <v>45559</v>
      </c>
    </row>
    <row r="252" spans="1:7" x14ac:dyDescent="0.2">
      <c r="A252" t="s">
        <v>374</v>
      </c>
      <c r="B252" t="str">
        <f t="shared" si="3"/>
        <v>BANCO DE CHILE/BHARAT RAMCHAND DUHLANI</v>
      </c>
      <c r="C252" s="3" t="s">
        <v>400</v>
      </c>
      <c r="D252" s="7" t="s">
        <v>458</v>
      </c>
      <c r="E252" s="2" t="s">
        <v>135</v>
      </c>
      <c r="F252">
        <v>2343912</v>
      </c>
      <c r="G252" s="9">
        <v>45404</v>
      </c>
    </row>
    <row r="253" spans="1:7" x14ac:dyDescent="0.2">
      <c r="A253" t="s">
        <v>375</v>
      </c>
      <c r="B253" t="str">
        <f t="shared" si="3"/>
        <v>BANCO DE CHILE/AUTOMOTORA SILCO SPA</v>
      </c>
      <c r="C253" s="3" t="s">
        <v>388</v>
      </c>
      <c r="D253" s="7" t="s">
        <v>559</v>
      </c>
      <c r="E253" s="2" t="s">
        <v>136</v>
      </c>
      <c r="F253">
        <v>24264372</v>
      </c>
      <c r="G253" s="9">
        <v>45496</v>
      </c>
    </row>
    <row r="254" spans="1:7" x14ac:dyDescent="0.2">
      <c r="A254" t="s">
        <v>376</v>
      </c>
      <c r="B254" t="str">
        <f t="shared" si="3"/>
        <v>BANCO DE CHILE/ARNALDO GONZALO LAZCANO QUIROZ</v>
      </c>
      <c r="C254" s="3" t="s">
        <v>409</v>
      </c>
      <c r="D254" s="7" t="s">
        <v>560</v>
      </c>
      <c r="E254" s="2" t="s">
        <v>137</v>
      </c>
      <c r="F254">
        <v>34298247</v>
      </c>
      <c r="G254" s="9">
        <v>44873</v>
      </c>
    </row>
    <row r="255" spans="1:7" x14ac:dyDescent="0.2">
      <c r="A255" t="s">
        <v>377</v>
      </c>
      <c r="B255" t="str">
        <f t="shared" si="3"/>
        <v>BANCO DE CHILE/ARNALDO GONZALO LAZCANO QUIROZ</v>
      </c>
      <c r="C255" s="3" t="s">
        <v>409</v>
      </c>
      <c r="D255" s="7" t="s">
        <v>560</v>
      </c>
      <c r="E255" s="2" t="s">
        <v>137</v>
      </c>
      <c r="F255">
        <v>2211089</v>
      </c>
      <c r="G255" s="9">
        <v>44960</v>
      </c>
    </row>
    <row r="256" spans="1:7" x14ac:dyDescent="0.2">
      <c r="A256" t="s">
        <v>378</v>
      </c>
      <c r="B256" t="str">
        <f t="shared" si="3"/>
        <v>BANCO DE CHILE/ANNY GREGORIA CHACIN GÓMEZ</v>
      </c>
      <c r="C256" s="3" t="s">
        <v>428</v>
      </c>
      <c r="D256" s="7" t="s">
        <v>561</v>
      </c>
      <c r="E256" s="2" t="s">
        <v>138</v>
      </c>
      <c r="F256">
        <v>146265552</v>
      </c>
      <c r="G256" s="9">
        <v>45817</v>
      </c>
    </row>
    <row r="257" spans="1:7" x14ac:dyDescent="0.2">
      <c r="A257" t="s">
        <v>379</v>
      </c>
      <c r="B257" t="str">
        <f t="shared" si="3"/>
        <v>BANCO DE CHILE/ANNY GREGORIA CHACIN GÓMEZ</v>
      </c>
      <c r="C257" s="3" t="s">
        <v>430</v>
      </c>
      <c r="D257" s="7" t="s">
        <v>561</v>
      </c>
      <c r="E257" s="2" t="s">
        <v>138</v>
      </c>
      <c r="F257">
        <v>12961934</v>
      </c>
      <c r="G257" s="9">
        <v>45817</v>
      </c>
    </row>
    <row r="258" spans="1:7" x14ac:dyDescent="0.2">
      <c r="A258" t="s">
        <v>380</v>
      </c>
      <c r="B258" t="str">
        <f t="shared" si="3"/>
        <v>BANCO DE CHILE/ALIMENTOS CHILE LIMITADA</v>
      </c>
      <c r="C258" s="4" t="s">
        <v>416</v>
      </c>
      <c r="D258" s="7" t="s">
        <v>562</v>
      </c>
      <c r="E258" s="2" t="s">
        <v>139</v>
      </c>
      <c r="F258">
        <v>88550356</v>
      </c>
      <c r="G258" s="9">
        <v>45541</v>
      </c>
    </row>
    <row r="259" spans="1:7" x14ac:dyDescent="0.2">
      <c r="A259" t="s">
        <v>381</v>
      </c>
      <c r="B259" t="str">
        <f t="shared" ref="B259:B265" si="4">"BANCO DE CHILE"&amp;"/"&amp;E259</f>
        <v>BANCO DE CHILE/ALIMENTOS CHILE LIMITADA</v>
      </c>
      <c r="C259" s="4" t="s">
        <v>410</v>
      </c>
      <c r="D259" s="7" t="s">
        <v>562</v>
      </c>
      <c r="E259" s="2" t="s">
        <v>139</v>
      </c>
      <c r="F259">
        <v>48955770</v>
      </c>
      <c r="G259" s="9">
        <v>45588</v>
      </c>
    </row>
    <row r="260" spans="1:7" x14ac:dyDescent="0.2">
      <c r="A260" t="s">
        <v>382</v>
      </c>
      <c r="B260" t="str">
        <f t="shared" si="4"/>
        <v>BANCO DE CHILE/ALIMENTOS CHILE LIMITADA</v>
      </c>
      <c r="C260" s="3" t="s">
        <v>416</v>
      </c>
      <c r="D260" s="7" t="s">
        <v>562</v>
      </c>
      <c r="E260" s="2" t="s">
        <v>139</v>
      </c>
      <c r="F260">
        <v>36234426</v>
      </c>
      <c r="G260" s="9">
        <v>45559</v>
      </c>
    </row>
    <row r="261" spans="1:7" x14ac:dyDescent="0.2">
      <c r="A261" t="s">
        <v>383</v>
      </c>
      <c r="B261" t="str">
        <f t="shared" si="4"/>
        <v>BANCO DE CHILE/ALIMENTOS CHILE LIMITADA</v>
      </c>
      <c r="C261" s="3" t="s">
        <v>416</v>
      </c>
      <c r="D261" s="7" t="s">
        <v>562</v>
      </c>
      <c r="E261" s="2" t="s">
        <v>139</v>
      </c>
      <c r="F261">
        <v>14883874</v>
      </c>
      <c r="G261" s="9">
        <v>45559</v>
      </c>
    </row>
    <row r="262" spans="1:7" x14ac:dyDescent="0.2">
      <c r="A262" t="s">
        <v>384</v>
      </c>
      <c r="B262" t="str">
        <f t="shared" si="4"/>
        <v>BANCO DE CHILE/ALIMENTOS CHILE LIMITADA</v>
      </c>
      <c r="C262" s="3" t="s">
        <v>416</v>
      </c>
      <c r="D262" s="7" t="s">
        <v>562</v>
      </c>
      <c r="E262" s="2" t="s">
        <v>139</v>
      </c>
      <c r="F262">
        <v>10000000</v>
      </c>
      <c r="G262" s="9">
        <v>45625</v>
      </c>
    </row>
    <row r="263" spans="1:7" x14ac:dyDescent="0.2">
      <c r="A263" t="s">
        <v>385</v>
      </c>
      <c r="B263" t="str">
        <f t="shared" si="4"/>
        <v>BANCO DE CHILE/ALIMENTOS CHILE LIMITADA</v>
      </c>
      <c r="C263" s="3" t="s">
        <v>403</v>
      </c>
      <c r="D263" s="7" t="s">
        <v>562</v>
      </c>
      <c r="E263" s="2" t="s">
        <v>139</v>
      </c>
      <c r="F263">
        <v>9846102</v>
      </c>
      <c r="G263" s="9">
        <v>45567</v>
      </c>
    </row>
    <row r="264" spans="1:7" x14ac:dyDescent="0.2">
      <c r="A264" t="s">
        <v>386</v>
      </c>
      <c r="B264" t="str">
        <f t="shared" si="4"/>
        <v>BANCO DE CHILE/ALDO BENITO SOTO FARÍAS</v>
      </c>
      <c r="C264" s="4" t="s">
        <v>395</v>
      </c>
      <c r="D264" s="7" t="s">
        <v>563</v>
      </c>
      <c r="E264" s="2" t="s">
        <v>140</v>
      </c>
      <c r="F264">
        <v>6459807</v>
      </c>
      <c r="G264" s="9">
        <v>45091</v>
      </c>
    </row>
    <row r="265" spans="1:7" x14ac:dyDescent="0.2">
      <c r="A265" t="s">
        <v>387</v>
      </c>
      <c r="B265" t="str">
        <f t="shared" si="4"/>
        <v>BANCO DE CHILE/8 DIGITAL SPA</v>
      </c>
      <c r="C265" s="3" t="s">
        <v>412</v>
      </c>
      <c r="D265" s="7" t="s">
        <v>564</v>
      </c>
      <c r="E265" s="2" t="s">
        <v>141</v>
      </c>
      <c r="F265">
        <v>13783830</v>
      </c>
      <c r="G265" s="9">
        <v>45456</v>
      </c>
    </row>
  </sheetData>
  <autoFilter ref="A1:I1" xr:uid="{00000000-0001-0000-0000-000000000000}"/>
  <dataValidations count="2">
    <dataValidation allowBlank="1" showDropDown="1" sqref="D2:E265" xr:uid="{10838FF3-6D79-DC42-9979-C029C780598A}"/>
    <dataValidation type="custom" allowBlank="1" showDropDown="1" sqref="G2:G265" xr:uid="{C8EE967F-953A-0F48-AB08-9501429A29E4}">
      <formula1>OR(NOT(ISERROR(DATEVALUE(G2))), AND(ISNUMBER(G2), LEFT(CELL("format", G2))="D"))</formula1>
    </dataValidation>
  </dataValidation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Causas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Alamos Santa Cruz</cp:lastModifiedBy>
  <dcterms:modified xsi:type="dcterms:W3CDTF">2025-12-06T05:35:45Z</dcterms:modified>
</cp:coreProperties>
</file>